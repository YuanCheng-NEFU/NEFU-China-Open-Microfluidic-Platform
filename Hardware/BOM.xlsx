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6f820078b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form BOM" sheetId="1" r:id="R1d6b651e79a7453a"/>
    <x:sheet xmlns:r="http://schemas.openxmlformats.org/officeDocument/2006/relationships" name="Optical Components" sheetId="2" r:id="R787ec921e99f43a3"/>
    <x:sheet xmlns:r="http://schemas.openxmlformats.org/officeDocument/2006/relationships" name="Optical Base Quote" sheetId="3" r:id="Rbb42d16d1b7e47e7"/>
    <x:sheet xmlns:r="http://schemas.openxmlformats.org/officeDocument/2006/relationships" name="Procurement Notes" sheetId="4" r:id="R139315a4b22f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8">
    <x:font>
      <x:sz val="11"/>
      <x:name val="Carlito"/>
    </x:font>
    <x:font>
      <x:b/>
      <x:sz val="19"/>
      <x:color rgb="FF202832"/>
      <x:name val="Arial"/>
    </x:font>
    <x:font>
      <x:sz val="10"/>
      <x:color rgb="FF5F6B72"/>
      <x:name val="Arial"/>
    </x:font>
    <x:font>
      <x:sz val="10"/>
      <x:color rgb="FF202832"/>
      <x:name val="Arial"/>
    </x:font>
    <x:font>
      <x:b/>
      <x:sz val="10"/>
      <x:color rgb="FFFFFFFF"/>
      <x:name val="Arial"/>
    </x:font>
    <x:font>
      <x:b/>
      <x:sz val="11"/>
      <x:color rgb="FF1A6B57"/>
      <x:name val="Arial"/>
    </x:font>
    <x:font>
      <x:sz val="11"/>
      <x:color rgb="FF202832"/>
      <x:name val="Arial"/>
    </x:font>
    <x:font>
      <x:b/>
      <x:sz val="18"/>
      <x:color rgb="FF20283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2832"/>
      </x:patternFill>
    </x:fill>
    <x:fill>
      <x:patternFill patternType="solid">
        <x:fgColor rgb="FFFFFFFF"/>
      </x:patternFill>
    </x:fill>
    <x:fill>
      <x:patternFill patternType="solid">
        <x:fgColor rgb="FFF1F4F5"/>
      </x:patternFill>
    </x:fill>
    <x:fill>
      <x:patternFill patternType="solid">
        <x:fgColor rgb="FFE2EDE8"/>
      </x:patternFill>
    </x:fill>
  </x:fills>
  <x:borders count="4">
    <x:border/>
    <x:border>
      <x:bottom style="thin">
        <x:color rgb="FFD8DEE2"/>
      </x:bottom>
    </x:border>
    <x:border>
      <x:bottom style="thin">
        <x:color rgb="FFE5E9EB"/>
      </x:bottom>
    </x:border>
    <x:border>
      <x:bottom style="medium">
        <x:color rgb="FF1A6B5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200" fontId="3" fillId="3" borderId="2" xfId="0" applyNumberFormat="1" applyFont="1" applyFill="1" applyBorder="1" applyAlignment="1">
      <x:alignment vertical="center" wrapText="1"/>
    </x:xf>
    <x:xf numFmtId="200" fontId="3" fillId="4" borderId="2" xfId="0" applyNumberFormat="1" applyFont="1" applyFill="1" applyBorder="1" applyAlignment="1">
      <x:alignment vertical="center" wrapText="1"/>
    </x:xf>
    <x:xf numFmtId="201" fontId="3" fillId="3" borderId="2" xfId="0" applyNumberFormat="1" applyFont="1" applyFill="1" applyBorder="1" applyAlignment="1">
      <x:alignment vertical="center" wrapText="1"/>
    </x:xf>
    <x:xf numFmtId="201" fontId="3" fillId="4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3" fillId="5" borderId="2" xfId="0" applyNumberFormat="1" applyFont="1" applyFill="1" applyBorder="1" applyAlignment="1">
      <x:alignment vertical="center" wrapText="1"/>
    </x:xf>
    <x:xf numFmtId="201" fontId="3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200" fontId="5" fillId="5" borderId="2" xfId="0" applyNumberFormat="1" applyFont="1" applyFill="1" applyBorder="1" applyAlignment="1">
      <x:alignment vertical="center" wrapText="1"/>
    </x:xf>
    <x:xf numFmtId="201" fontId="5" fillId="5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c3d4cbac94f8f" /><Relationship Type="http://schemas.openxmlformats.org/officeDocument/2006/relationships/theme" Target="/xl/theme/theme1.xml" Id="R0131dee6c6564df0" /><Relationship Type="http://schemas.openxmlformats.org/officeDocument/2006/relationships/sharedStrings" Target="/xl/sharedStrings.xml" Id="R10c47e87eb144a34" /><Relationship Type="http://schemas.openxmlformats.org/officeDocument/2006/relationships/worksheet" Target="/xl/worksheets/sheet1.xml" Id="R1d6b651e79a7453a" /><Relationship Type="http://schemas.openxmlformats.org/officeDocument/2006/relationships/worksheet" Target="/xl/worksheets/sheet2.xml" Id="R787ec921e99f43a3" /><Relationship Type="http://schemas.openxmlformats.org/officeDocument/2006/relationships/worksheet" Target="/xl/worksheets/sheet3.xml" Id="Rbb42d16d1b7e47e7" /><Relationship Type="http://schemas.openxmlformats.org/officeDocument/2006/relationships/worksheet" Target="/xl/worksheets/sheet4.xml" Id="R139315a4b22f4ef7" /></Relationships>
</file>

<file path=xl/tables/table1.xml><?xml version="1.0" encoding="utf-8"?>
<x:table xmlns:x="http://schemas.openxmlformats.org/spreadsheetml/2006/main" id="1" name="PlatformBOMTable" displayName="PlatformBOMTable" ref="A5:I33" headerRowCount="1" totalsRowCount="0" totalsRowShown="0">
  <x:tableColumns count="9">
    <x:tableColumn id="1" name="ID"/>
    <x:tableColumn id="2" name="Category"/>
    <x:tableColumn id="3" name="Component"/>
    <x:tableColumn id="4" name="Model"/>
    <x:tableColumn id="5" name="Quantity"/>
    <x:tableColumn id="6" name="Function"/>
    <x:tableColumn id="7" name="Reference unit price (CNY)"/>
    <x:tableColumn id="8" name="Application"/>
    <x:tableColumn id="9" name="Procurement 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OpticalComponentsTable" displayName="OpticalComponentsTable" ref="A5:F34" headerRowCount="1" totalsRowCount="0" totalsRowShown="0">
  <x:tableColumns count="6">
    <x:tableColumn id="1" name="ID"/>
    <x:tableColumn id="2" name="Component"/>
    <x:tableColumn id="3" name="Model"/>
    <x:tableColumn id="4" name="Supplier"/>
    <x:tableColumn id="5" name="Quantity"/>
    <x:tableColumn id="6" name="Not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OpticalBaseQuoteTable" displayName="OpticalBaseQuoteTable" ref="A5:G60" headerRowCount="1" totalsRowCount="0" totalsRowShown="0">
  <x:tableColumns count="7">
    <x:tableColumn id="1" name="ID"/>
    <x:tableColumn id="2" name="Product"/>
    <x:tableColumn id="3" name="Model"/>
    <x:tableColumn id="4" name="Quantity"/>
    <x:tableColumn id="5" name="Unit"/>
    <x:tableColumn id="6" name="Unit price (CNY)"/>
    <x:tableColumn id="7" name="Line total (CNY)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5db0048e2f4a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3deff269db4d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5f7727bac04abe" /></Relationships>
</file>

<file path=xl/worksheets/sheet1.xml><?xml version="1.0" encoding="utf-8"?>
<x:worksheet xmlns:x="http://schemas.openxmlformats.org/spreadsheetml/2006/main">
  <x:sheetPr>
    <x:tabColor rgb="FF6677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.75" hidden="0" customWidth="1"/>
    <x:col min="2" max="2" width="14.380000114440918" hidden="0" customWidth="1"/>
    <x:col min="3" max="3" width="23.75" hidden="0" customWidth="1"/>
    <x:col min="4" max="4" width="31.25" hidden="0" customWidth="1"/>
    <x:col min="5" max="5" width="8.130000114440918" hidden="0" customWidth="1"/>
    <x:col min="6" max="6" width="30" hidden="0" customWidth="1"/>
    <x:col min="7" max="7" width="13.130000114440918" hidden="0" customWidth="1"/>
    <x:col min="8" max="8" width="18.1299991607666" hidden="0" customWidth="1"/>
    <x:col min="9" max="9" width="48.75" hidden="0" customWidth="1"/>
  </x:cols>
  <x:sheetData>
    <x:row r="1" ht="28.5" customHeight="1">
      <x:c r="A1" s="1" t="str">
        <x:v>Platform BOM</x:v>
      </x:c>
    </x:row>
    <x:row r="2" ht="19.5" customHeight="1">
      <x:c r="A2" s="2" t="str">
        <x:v>NEFU-China Open Microfluidic Platform | Procurement reference | CNY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 ht="31.5" customHeight="1">
      <x:c r="A5" s="9" t="str">
        <x:v>ID</x:v>
      </x:c>
      <x:c r="B5" s="9" t="str">
        <x:v>Category</x:v>
      </x:c>
      <x:c r="C5" s="9" t="str">
        <x:v>Component</x:v>
      </x:c>
      <x:c r="D5" s="9" t="str">
        <x:v>Model</x:v>
      </x:c>
      <x:c r="E5" s="9" t="str">
        <x:v>Quantity</x:v>
      </x:c>
      <x:c r="F5" s="9" t="str">
        <x:v>Function</x:v>
      </x:c>
      <x:c r="G5" s="9" t="str">
        <x:v>Reference unit price (CNY)</x:v>
      </x:c>
      <x:c r="H5" s="9" t="str">
        <x:v>Application</x:v>
      </x:c>
      <x:c r="I5" s="9" t="str">
        <x:v>Procurement notes</x:v>
      </x:c>
    </x:row>
    <x:row r="6" ht="60" customHeight="1">
      <x:c r="A6" s="14" t="n">
        <x:v>1</x:v>
      </x:c>
      <x:c r="B6" s="11" t="str">
        <x:v>Detection</x:v>
      </x:c>
      <x:c r="C6" s="11" t="str">
        <x:v>Photon-counting head (PMT)</x:v>
      </x:c>
      <x:c r="D6" s="11" t="str">
        <x:v>H10682-210</x:v>
      </x:c>
      <x:c r="E6" s="16" t="n">
        <x:v>1</x:v>
      </x:c>
      <x:c r="F6" s="11" t="str">
        <x:v>Droplet fluorescence detection</x:v>
      </x:c>
      <x:c r="G6" s="18" t="n">
        <x:v>2500</x:v>
      </x:c>
      <x:c r="H6" s="11" t="str">
        <x:v>Required</x:v>
      </x:c>
      <x:c r="I6" s="11" t="str">
        <x:v>Hamamatsu; match the suffix to the installed head. H10682-110 is also documented.</x:v>
      </x:c>
    </x:row>
    <x:row r="7" ht="60" customHeight="1">
      <x:c r="A7" s="15" t="n">
        <x:v>2</x:v>
      </x:c>
      <x:c r="B7" s="13" t="str">
        <x:v>Detection</x:v>
      </x:c>
      <x:c r="C7" s="13" t="str">
        <x:v>Photon counter</x:v>
      </x:c>
      <x:c r="D7" s="13" t="str">
        <x:v>CH297-011</x:v>
      </x:c>
      <x:c r="E7" s="17" t="n">
        <x:v>1</x:v>
      </x:c>
      <x:c r="F7" s="13" t="str">
        <x:v>Real-time photon-count acquisition</x:v>
      </x:c>
      <x:c r="G7" s="19" t="n">
        <x:v>1500</x:v>
      </x:c>
      <x:c r="H7" s="13" t="str">
        <x:v>Required</x:v>
      </x:c>
      <x:c r="I7" s="13" t="str">
        <x:v>Obtain the driver and PMTCount.dll from the supplier.</x:v>
      </x:c>
    </x:row>
    <x:row r="8" ht="60" customHeight="1">
      <x:c r="A8" s="14" t="n">
        <x:v>3</x:v>
      </x:c>
      <x:c r="B8" s="11" t="str">
        <x:v>Control</x:v>
      </x:c>
      <x:c r="C8" s="11" t="str">
        <x:v>FPGA development board</x:v>
      </x:c>
      <x:c r="D8" s="11" t="str">
        <x:v>PYNQ-Z2（xc7z020clg400-1）</x:v>
      </x:c>
      <x:c r="E8" s="16" t="n">
        <x:v>1</x:v>
      </x:c>
      <x:c r="F8" s="11" t="str">
        <x:v>Threshold decisions and gate output</x:v>
      </x:c>
      <x:c r="G8" s="18" t="n">
        <x:v>2000</x:v>
      </x:c>
      <x:c r="H8" s="11" t="str">
        <x:v>Required</x:v>
      </x:c>
      <x:c r="I8" s="11" t="str">
        <x:v>PMOD B Pin 1 output: 0-3.3 V.</x:v>
      </x:c>
    </x:row>
    <x:row r="9" ht="60" customHeight="1">
      <x:c r="A9" s="15" t="n">
        <x:v>4</x:v>
      </x:c>
      <x:c r="B9" s="13" t="str">
        <x:v>Imaging</x:v>
      </x:c>
      <x:c r="C9" s="13" t="str">
        <x:v>Scientific camera</x:v>
      </x:c>
      <x:c r="D9" s="13" t="str">
        <x:v>MUS40M-G (monochrome, global shutter)</x:v>
      </x:c>
      <x:c r="E9" s="17" t="n">
        <x:v>1</x:v>
      </x:c>
      <x:c r="F9" s="13" t="str">
        <x:v>Droplet imaging and recording</x:v>
      </x:c>
      <x:c r="G9" s="19" t="n">
        <x:v>3176</x:v>
      </x:c>
      <x:c r="H9" s="13" t="str">
        <x:v>Required</x:v>
      </x:c>
      <x:c r="I9" s="13" t="str">
        <x:v>Price from optical base quotation; install the supplier SDK and OEApi64.dll.</x:v>
      </x:c>
    </x:row>
    <x:row r="10" ht="60" customHeight="1">
      <x:c r="A10" s="14" t="n">
        <x:v>5</x:v>
      </x:c>
      <x:c r="B10" s="11" t="str">
        <x:v>Fluidics</x:v>
      </x:c>
      <x:c r="C10" s="11" t="str">
        <x:v>Syringe pump</x:v>
      </x:c>
      <x:c r="D10" s="11" t="str">
        <x:v>LSP02-3B</x:v>
      </x:c>
      <x:c r="E10" s="16" t="n">
        <x:v>1</x:v>
      </x:c>
      <x:c r="F10" s="11" t="str">
        <x:v>Oil delivery and droplet reinjection</x:v>
      </x:c>
      <x:c r="G10" s="18" t="n">
        <x:v>6578</x:v>
      </x:c>
      <x:c r="H10" s="11" t="str">
        <x:v>Required</x:v>
      </x:c>
      <x:c r="I10" s="11" t="str">
        <x:v>Two channels; RS485 address 1. Aqueous: about 1.5 uL/min. Oil: 500 uL over 28.5 min.</x:v>
      </x:c>
    </x:row>
    <x:row r="11" ht="60" customHeight="1">
      <x:c r="A11" s="15" t="n">
        <x:v>6</x:v>
      </x:c>
      <x:c r="B11" s="13" t="str">
        <x:v>Fluidics</x:v>
      </x:c>
      <x:c r="C11" s="13" t="str">
        <x:v>Syringes</x:v>
      </x:c>
      <x:c r="D11" s="13" t="str">
        <x:v>Pump-compatible microsyringes</x:v>
      </x:c>
      <x:c r="E11" s="17" t="n">
        <x:v>2</x:v>
      </x:c>
      <x:c r="F11" s="13" t="str">
        <x:v>Aqueous and oil delivery; droplet reinjection</x:v>
      </x:c>
      <x:c r="G11" s="19"/>
      <x:c r="H11" s="13" t="str">
        <x:v>Required</x:v>
      </x:c>
      <x:c r="I11" s="13" t="str">
        <x:v>Select capacity and diameter for the chip flow rate.</x:v>
      </x:c>
    </x:row>
    <x:row r="12" ht="60" customHeight="1">
      <x:c r="A12" s="14" t="n">
        <x:v>7</x:v>
      </x:c>
      <x:c r="B12" s="11" t="str">
        <x:v>Fluidics</x:v>
      </x:c>
      <x:c r="C12" s="11" t="str">
        <x:v>Sorting chip</x:v>
      </x:c>
      <x:c r="D12" s="11" t="str">
        <x:v>DEP sorting chip, 75 x 25 x 1 mm</x:v>
      </x:c>
      <x:c r="E12" s="16" t="n">
        <x:v>1</x:v>
      </x:c>
      <x:c r="F12" s="11" t="str">
        <x:v>Droplet generation and DEP sorting</x:v>
      </x:c>
      <x:c r="G12" s="18" t="n">
        <x:v>500</x:v>
      </x:c>
      <x:c r="H12" s="11" t="str">
        <x:v>Required</x:v>
      </x:c>
      <x:c r="I12" s="11" t="str">
        <x:v>Approximately 30 um water-in-oil droplets.</x:v>
      </x:c>
    </x:row>
    <x:row r="13" ht="60" customHeight="1">
      <x:c r="A13" s="15" t="n">
        <x:v>8</x:v>
      </x:c>
      <x:c r="B13" s="13" t="str">
        <x:v>Optics</x:v>
      </x:c>
      <x:c r="C13" s="13" t="str">
        <x:v>Excitation source</x:v>
      </x:c>
      <x:c r="D13" s="13" t="str">
        <x:v>OM-12A488-10-G (488 nm, 12 mm diameter)</x:v>
      </x:c>
      <x:c r="E13" s="17" t="n">
        <x:v>1</x:v>
      </x:c>
      <x:c r="F13" s="13" t="str">
        <x:v>eGFP excitation</x:v>
      </x:c>
      <x:c r="G13" s="19" t="n">
        <x:v>490</x:v>
      </x:c>
      <x:c r="H13" s="13" t="str">
        <x:v>Required</x:v>
      </x:c>
      <x:c r="I13" s="13" t="str">
        <x:v>Price from optical base quotation. Use the matching excitation and filter set for mCherry.</x:v>
      </x:c>
    </x:row>
    <x:row r="14" ht="60" customHeight="1">
      <x:c r="A14" s="14" t="n">
        <x:v>9</x:v>
      </x:c>
      <x:c r="B14" s="11" t="str">
        <x:v>Optics</x:v>
      </x:c>
      <x:c r="C14" s="11" t="str">
        <x:v>Observation illuminator</x:v>
      </x:c>
      <x:c r="D14" s="11" t="str">
        <x:v>LED-D1-MAX6K + LEDOTB-1000 controller</x:v>
      </x:c>
      <x:c r="E14" s="16" t="n">
        <x:v>1</x:v>
      </x:c>
      <x:c r="F14" s="11" t="str">
        <x:v>Brightfield illumination</x:v>
      </x:c>
      <x:c r="G14" s="18" t="n">
        <x:v>1830</x:v>
      </x:c>
      <x:c r="H14" s="11" t="str">
        <x:v>Required</x:v>
      </x:c>
      <x:c r="I14" s="11" t="str">
        <x:v>Quoted prices: 905 + 925 CNY. Illuminate from above with spectral separation from fluorescence.</x:v>
      </x:c>
    </x:row>
    <x:row r="15" ht="60" customHeight="1">
      <x:c r="A15" s="15" t="n">
        <x:v>10</x:v>
      </x:c>
      <x:c r="B15" s="13" t="str">
        <x:v>Optics</x:v>
      </x:c>
      <x:c r="C15" s="13" t="str">
        <x:v>Emission filter</x:v>
      </x:c>
      <x:c r="D15" s="13" t="str">
        <x:v>FBH520-40</x:v>
      </x:c>
      <x:c r="E15" s="17" t="n">
        <x:v>1</x:v>
      </x:c>
      <x:c r="F15" s="13" t="str">
        <x:v>eGFP emission selection</x:v>
      </x:c>
      <x:c r="G15" s="19"/>
      <x:c r="H15" s="13" t="str">
        <x:v>Required</x:v>
      </x:c>
      <x:c r="I15" s="13" t="str">
        <x:v>Thorlabs</x:v>
      </x:c>
    </x:row>
    <x:row r="16" ht="60" customHeight="1">
      <x:c r="A16" s="14" t="n">
        <x:v>11</x:v>
      </x:c>
      <x:c r="B16" s="11" t="str">
        <x:v>Optics</x:v>
      </x:c>
      <x:c r="C16" s="11" t="str">
        <x:v>Dichroic mirror</x:v>
      </x:c>
      <x:c r="D16" s="11" t="str">
        <x:v>DMLP505R</x:v>
      </x:c>
      <x:c r="E16" s="16" t="n">
        <x:v>1</x:v>
      </x:c>
      <x:c r="F16" s="11" t="str">
        <x:v>Excitation and emission separation</x:v>
      </x:c>
      <x:c r="G16" s="18"/>
      <x:c r="H16" s="11" t="str">
        <x:v>Required</x:v>
      </x:c>
      <x:c r="I16" s="11" t="str">
        <x:v>Thorlabs</x:v>
      </x:c>
    </x:row>
    <x:row r="17" ht="60" customHeight="1">
      <x:c r="A17" s="15" t="n">
        <x:v>12</x:v>
      </x:c>
      <x:c r="B17" s="13" t="str">
        <x:v>Optics</x:v>
      </x:c>
      <x:c r="C17" s="13" t="str">
        <x:v>PMT emission filter</x:v>
      </x:c>
      <x:c r="D17" s="13" t="str">
        <x:v>535 nm filter</x:v>
      </x:c>
      <x:c r="E17" s="17" t="n">
        <x:v>1</x:v>
      </x:c>
      <x:c r="F17" s="13" t="str">
        <x:v>Reject observation light at the PMT</x:v>
      </x:c>
      <x:c r="G17" s="19"/>
      <x:c r="H17" s="13" t="str">
        <x:v>Configuration-specific</x:v>
      </x:c>
      <x:c r="I17" s="13" t="str">
        <x:v>Documented 535 nm configuration. Select the complete emission-filter set matched to the installed optical path.</x:v>
      </x:c>
    </x:row>
    <x:row r="18" ht="60" customHeight="1">
      <x:c r="A18" s="14" t="n">
        <x:v>13</x:v>
      </x:c>
      <x:c r="B18" s="11" t="str">
        <x:v>Optics</x:v>
      </x:c>
      <x:c r="C18" s="11" t="str">
        <x:v>Neutral-density filter</x:v>
      </x:c>
      <x:c r="D18" s="11" t="str">
        <x:v>Neutral-density filter</x:v>
      </x:c>
      <x:c r="E18" s="16" t="n">
        <x:v>1</x:v>
      </x:c>
      <x:c r="F18" s="11" t="str">
        <x:v>Camera attenuation and exposure control</x:v>
      </x:c>
      <x:c r="G18" s="18"/>
      <x:c r="H18" s="11" t="str">
        <x:v>Required</x:v>
      </x:c>
      <x:c r="I18" s="11" t="str">
        <x:v>Select attenuation for the camera and illumination level.</x:v>
      </x:c>
    </x:row>
    <x:row r="19" ht="60" customHeight="1">
      <x:c r="A19" s="15" t="n">
        <x:v>14</x:v>
      </x:c>
      <x:c r="B19" s="13" t="str">
        <x:v>Optics</x:v>
      </x:c>
      <x:c r="C19" s="13" t="str">
        <x:v>Cage cube</x:v>
      </x:c>
      <x:c r="D19" s="13" t="str">
        <x:v>C6WR</x:v>
      </x:c>
      <x:c r="E19" s="17" t="n">
        <x:v>6</x:v>
      </x:c>
      <x:c r="F19" s="13" t="str">
        <x:v>Optical assembly</x:v>
      </x:c>
      <x:c r="G19" s="19"/>
      <x:c r="H19" s="13" t="str">
        <x:v>Required</x:v>
      </x:c>
      <x:c r="I19" s="13" t="str">
        <x:v>Thorlabs</x:v>
      </x:c>
    </x:row>
    <x:row r="20" ht="60" customHeight="1">
      <x:c r="A20" s="14" t="n">
        <x:v>15</x:v>
      </x:c>
      <x:c r="B20" s="11" t="str">
        <x:v>Optics</x:v>
      </x:c>
      <x:c r="C20" s="11" t="str">
        <x:v>Optical base assembly</x:v>
      </x:c>
      <x:c r="D20" s="11" t="str">
        <x:v>Optical base kit (55 listed line items, 95 units)</x:v>
      </x:c>
      <x:c r="E20" s="16" t="n">
        <x:v>1</x:v>
      </x:c>
      <x:c r="F20" s="11" t="str">
        <x:v>Optical and chip mounting</x:v>
      </x:c>
      <x:c r="G20" s="18" t="n">
        <x:v>22851</x:v>
      </x:c>
      <x:c r="H20" s="11" t="str">
        <x:v>Required</x:v>
      </x:c>
      <x:c r="I20" s="11" t="str">
        <x:v>Quoted assembly total; see Optical Base Quote. Listed components overlap the platform BOM.</x:v>
      </x:c>
    </x:row>
    <x:row r="21" ht="60" customHeight="1">
      <x:c r="A21" s="15" t="n">
        <x:v>16</x:v>
      </x:c>
      <x:c r="B21" s="13" t="str">
        <x:v>mCherry configuration</x:v>
      </x:c>
      <x:c r="C21" s="13" t="str">
        <x:v>Custom filter</x:v>
      </x:c>
      <x:c r="D21" s="13" t="str">
        <x:v>Custom filter near 610 nm</x:v>
      </x:c>
      <x:c r="E21" s="17" t="n">
        <x:v>1</x:v>
      </x:c>
      <x:c r="F21" s="13" t="str">
        <x:v>mCherry emission selection</x:v>
      </x:c>
      <x:c r="G21" s="19" t="n">
        <x:v>1929</x:v>
      </x:c>
      <x:c r="H21" s="13" t="str">
        <x:v>mCherry configuration</x:v>
      </x:c>
      <x:c r="I21" s="13" t="str">
        <x:v>Reference price from the 20 August project report; specify the mCherry filter separately from the FITC/eGFP set.</x:v>
      </x:c>
    </x:row>
    <x:row r="22" ht="60" customHeight="1">
      <x:c r="A22" s="14" t="n">
        <x:v>17</x:v>
      </x:c>
      <x:c r="B22" s="11" t="str">
        <x:v>mCherry configuration</x:v>
      </x:c>
      <x:c r="C22" s="11" t="str">
        <x:v>587 nm LED</x:v>
      </x:c>
      <x:c r="D22" s="11" t="str">
        <x:v>LED near 587 nm</x:v>
      </x:c>
      <x:c r="E22" s="16" t="n">
        <x:v>1</x:v>
      </x:c>
      <x:c r="F22" s="11" t="str">
        <x:v>mCherry excitation, LED option</x:v>
      </x:c>
      <x:c r="G22" s="18" t="n">
        <x:v>400</x:v>
      </x:c>
      <x:c r="H22" s="11" t="str">
        <x:v>mCherry configuration</x:v>
      </x:c>
      <x:c r="I22" s="11" t="str">
        <x:v>Use with the 610 nm filter.</x:v>
      </x:c>
    </x:row>
    <x:row r="23" ht="60" customHeight="1">
      <x:c r="A23" s="15" t="n">
        <x:v>18</x:v>
      </x:c>
      <x:c r="B23" s="13" t="str">
        <x:v>mCherry configuration</x:v>
      </x:c>
      <x:c r="C23" s="13" t="str">
        <x:v>587 nm laser</x:v>
      </x:c>
      <x:c r="D23" s="13" t="str">
        <x:v>587 nm laser</x:v>
      </x:c>
      <x:c r="E23" s="17" t="n">
        <x:v>1</x:v>
      </x:c>
      <x:c r="F23" s="13" t="str">
        <x:v>mCherry excitation, laser option</x:v>
      </x:c>
      <x:c r="G23" s="19" t="n">
        <x:v>200</x:v>
      </x:c>
      <x:c r="H23" s="13" t="str">
        <x:v>mCherry configuration</x:v>
      </x:c>
      <x:c r="I23" s="13" t="str">
        <x:v>Use with 587 nm and 610 nm filters.</x:v>
      </x:c>
    </x:row>
    <x:row r="24" ht="60" customHeight="1">
      <x:c r="A24" s="14" t="n">
        <x:v>19</x:v>
      </x:c>
      <x:c r="B24" s="11" t="str">
        <x:v>DEP sorting</x:v>
      </x:c>
      <x:c r="C24" s="11" t="str">
        <x:v>Function generator</x:v>
      </x:c>
      <x:c r="D24" s="11" t="str">
        <x:v>RIGOL DG1022Z</x:v>
      </x:c>
      <x:c r="E24" s="16" t="n">
        <x:v>1</x:v>
      </x:c>
      <x:c r="F24" s="11" t="str">
        <x:v>8 kHz sinusoidal drive</x:v>
      </x:c>
      <x:c r="G24" s="18" t="n">
        <x:v>3456</x:v>
      </x:c>
      <x:c r="H24" s="11" t="str">
        <x:v>DEP configuration</x:v>
      </x:c>
      <x:c r="I24" s="11" t="str">
        <x:v>PYNQ external trigger; DG1000Z series.</x:v>
      </x:c>
    </x:row>
    <x:row r="25" ht="60" customHeight="1">
      <x:c r="A25" s="15" t="n">
        <x:v>20</x:v>
      </x:c>
      <x:c r="B25" s="13" t="str">
        <x:v>DEP sorting</x:v>
      </x:c>
      <x:c r="C25" s="13" t="str">
        <x:v>High-voltage amplifier</x:v>
      </x:c>
      <x:c r="D25" s="13" t="str">
        <x:v>ATA-2081</x:v>
      </x:c>
      <x:c r="E25" s="17" t="n">
        <x:v>1</x:v>
      </x:c>
      <x:c r="F25" s="13" t="str">
        <x:v>Amplify drive to 300-500 Vpp</x:v>
      </x:c>
      <x:c r="G25" s="19" t="n">
        <x:v>24100</x:v>
      </x:c>
      <x:c r="H25" s="13" t="str">
        <x:v>DEP configuration</x:v>
      </x:c>
      <x:c r="I25" s="13" t="str">
        <x:v>Guard and insulate high-voltage outputs. Match the installed model; ATA-2088 also appears in source records.</x:v>
      </x:c>
    </x:row>
    <x:row r="26" ht="60" customHeight="1">
      <x:c r="A26" s="14" t="n">
        <x:v>21</x:v>
      </x:c>
      <x:c r="B26" s="11" t="str">
        <x:v>DEP sorting</x:v>
      </x:c>
      <x:c r="C26" s="11" t="str">
        <x:v>High-voltage leads and clips</x:v>
      </x:c>
      <x:c r="D26" s="11" t="str">
        <x:v>Insulated clips and accessories</x:v>
      </x:c>
      <x:c r="E26" s="16" t="n">
        <x:v>2</x:v>
      </x:c>
      <x:c r="F26" s="11" t="str">
        <x:v>Sorting-electrode connection</x:v>
      </x:c>
      <x:c r="G26" s="18" t="n">
        <x:v>2.25</x:v>
      </x:c>
      <x:c r="H26" s="11" t="str">
        <x:v>DEP configuration</x:v>
      </x:c>
      <x:c r="I26" s="11" t="str">
        <x:v>Taobao</x:v>
      </x:c>
    </x:row>
    <x:row r="27" ht="60" customHeight="1">
      <x:c r="A27" s="15" t="n">
        <x:v>22</x:v>
      </x:c>
      <x:c r="B27" s="13" t="str">
        <x:v>Computing</x:v>
      </x:c>
      <x:c r="C27" s="13" t="str">
        <x:v>Computer</x:v>
      </x:c>
      <x:c r="D27" s="13" t="str">
        <x:v>Windows x64 workstation</x:v>
      </x:c>
      <x:c r="E27" s="17" t="n">
        <x:v>1</x:v>
      </x:c>
      <x:c r="F27" s="13" t="str">
        <x:v>Run the control application</x:v>
      </x:c>
      <x:c r="G27" s="19"/>
      <x:c r="H27" s="13" t="str">
        <x:v>Required</x:v>
      </x:c>
      <x:c r="I27" s="13" t="str">
        <x:v>Provide multiple USB ports and Ethernet.</x:v>
      </x:c>
    </x:row>
    <x:row r="28" ht="60" customHeight="1">
      <x:c r="A28" s="14" t="n">
        <x:v>23</x:v>
      </x:c>
      <x:c r="B28" s="11" t="str">
        <x:v>Consumables</x:v>
      </x:c>
      <x:c r="C28" s="11" t="str">
        <x:v>Tygon tubing</x:v>
      </x:c>
      <x:c r="D28" s="11" t="str">
        <x:v>0.06 in OD / 0.02 in ID</x:v>
      </x:c>
      <x:c r="E28" s="16" t="n">
        <x:v>1</x:v>
      </x:c>
      <x:c r="F28" s="11" t="str">
        <x:v>Oil-phase connection</x:v>
      </x:c>
      <x:c r="G28" s="18" t="n">
        <x:v>37</x:v>
      </x:c>
      <x:c r="H28" s="11" t="str">
        <x:v>Required</x:v>
      </x:c>
      <x:c r="I28" s="11" t="str">
        <x:v>Purchase by the meter.</x:v>
      </x:c>
    </x:row>
    <x:row r="29" ht="60" customHeight="1">
      <x:c r="A29" s="15" t="n">
        <x:v>24</x:v>
      </x:c>
      <x:c r="B29" s="13" t="str">
        <x:v>Consumables</x:v>
      </x:c>
      <x:c r="C29" s="13" t="str">
        <x:v>PEEK tubing</x:v>
      </x:c>
      <x:c r="D29" s="13" t="str">
        <x:v>1.6 mm OD / 0.13 mm ID</x:v>
      </x:c>
      <x:c r="E29" s="17" t="n">
        <x:v>1</x:v>
      </x:c>
      <x:c r="F29" s="13" t="str">
        <x:v>Other fluidic ports</x:v>
      </x:c>
      <x:c r="G29" s="19" t="n">
        <x:v>90</x:v>
      </x:c>
      <x:c r="H29" s="13" t="str">
        <x:v>Required</x:v>
      </x:c>
      <x:c r="I29" s="13" t="str">
        <x:v>Purchase by the meter.</x:v>
      </x:c>
    </x:row>
    <x:row r="30" ht="60" customHeight="1">
      <x:c r="A30" s="14" t="n">
        <x:v>25</x:v>
      </x:c>
      <x:c r="B30" s="11" t="str">
        <x:v>Consumables</x:v>
      </x:c>
      <x:c r="C30" s="11" t="str">
        <x:v>Stainless-steel capillary</x:v>
      </x:c>
      <x:c r="D30" s="11" t="str">
        <x:v>0.7 mm OD</x:v>
      </x:c>
      <x:c r="E30" s="16" t="n">
        <x:v>1</x:v>
      </x:c>
      <x:c r="F30" s="11" t="str">
        <x:v>Chip-inlet connection</x:v>
      </x:c>
      <x:c r="G30" s="18" t="n">
        <x:v>2.5</x:v>
      </x:c>
      <x:c r="H30" s="11" t="str">
        <x:v>Required</x:v>
      </x:c>
      <x:c r="I30" s="11" t="str">
        <x:v>Taobao</x:v>
      </x:c>
    </x:row>
    <x:row r="31" ht="60" customHeight="1">
      <x:c r="A31" s="15" t="n">
        <x:v>26</x:v>
      </x:c>
      <x:c r="B31" s="13" t="str">
        <x:v>Consumables</x:v>
      </x:c>
      <x:c r="C31" s="13" t="str">
        <x:v>Fluorinated oil</x:v>
      </x:c>
      <x:c r="D31" s="13" t="str">
        <x:v>Fluorinated oil for droplet reinjection</x:v>
      </x:c>
      <x:c r="E31" s="17" t="n">
        <x:v>1</x:v>
      </x:c>
      <x:c r="F31" s="13" t="str">
        <x:v>Prefill phase for reinjection after incubation</x:v>
      </x:c>
      <x:c r="G31" s="19"/>
      <x:c r="H31" s="13" t="str">
        <x:v>Required</x:v>
      </x:c>
      <x:c r="I31" s="13" t="str">
        <x:v>Prefill the syringe with a small volume of fluorinated oil before loading droplets.</x:v>
      </x:c>
    </x:row>
    <x:row r="32" ht="60" customHeight="1">
      <x:c r="A32" s="14" t="n">
        <x:v>27</x:v>
      </x:c>
      <x:c r="B32" s="11" t="str">
        <x:v>Consumables</x:v>
      </x:c>
      <x:c r="C32" s="11" t="str">
        <x:v>Light enclosure</x:v>
      </x:c>
      <x:c r="D32" s="11" t="str">
        <x:v>Custom</x:v>
      </x:c>
      <x:c r="E32" s="16" t="n">
        <x:v>1</x:v>
      </x:c>
      <x:c r="F32" s="11" t="str">
        <x:v>Ambient-light shielding</x:v>
      </x:c>
      <x:c r="G32" s="18"/>
      <x:c r="H32" s="11" t="str">
        <x:v>Required</x:v>
      </x:c>
      <x:c r="I32" s="11" t="str">
        <x:v>Custom fabrication by Mingjue Chuangwu; specify the enclosure dimensions for the optical assembly.</x:v>
      </x:c>
    </x:row>
    <x:row r="33" ht="60" customHeight="1">
      <x:c r="A33" s="15" t="n">
        <x:v>28</x:v>
      </x:c>
      <x:c r="B33" s="13" t="str">
        <x:v>Consumables</x:v>
      </x:c>
      <x:c r="C33" s="13" t="str">
        <x:v>USB-to-RS485 adapter</x:v>
      </x:c>
      <x:c r="D33" s="13" t="str">
        <x:v>UGREEN CM253 (isolated)</x:v>
      </x:c>
      <x:c r="E33" s="17" t="n">
        <x:v>1</x:v>
      </x:c>
      <x:c r="F33" s="13" t="str">
        <x:v>Syringe-pump connection</x:v>
      </x:c>
      <x:c r="G33" s="19"/>
      <x:c r="H33" s="13" t="str">
        <x:v>Required</x:v>
      </x:c>
      <x:c r="I33" s="13" t="str">
        <x:v>Connect A to A and B to B.</x:v>
      </x:c>
    </x:row>
  </x:sheetData>
  <x:pageMargins left="0.7" right="0.7" top="0.75" bottom="0.75" header="0.3" footer="0.3"/>
  <x:tableParts count="1">
    <x:tablePart xmlns:r="http://schemas.openxmlformats.org/officeDocument/2006/relationships" r:id="Rfe5db0048e2f4ade"/>
  </x:tableParts>
</x:worksheet>
</file>

<file path=xl/worksheets/sheet2.xml><?xml version="1.0" encoding="utf-8"?>
<x:worksheet xmlns:x="http://schemas.openxmlformats.org/spreadsheetml/2006/main">
  <x:sheetPr>
    <x:tabColor rgb="FF6677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.75" hidden="0" customWidth="1"/>
    <x:col min="2" max="2" width="30" hidden="0" customWidth="1"/>
    <x:col min="3" max="3" width="29.3799991607666" hidden="0" customWidth="1"/>
    <x:col min="4" max="4" width="18.1299991607666" hidden="0" customWidth="1"/>
    <x:col min="5" max="5" width="8.130000114440918" hidden="0" customWidth="1"/>
    <x:col min="6" max="6" width="52.5" hidden="0" customWidth="1"/>
  </x:cols>
  <x:sheetData>
    <x:row r="1" ht="28.5" customHeight="1">
      <x:c r="A1" s="1" t="str">
        <x:v>Optical Components</x:v>
      </x:c>
    </x:row>
    <x:row r="2" ht="19.5" customHeight="1">
      <x:c r="A2" s="2" t="str">
        <x:v>NEFU-China Open Microfluidic Platform | Procurement reference | CNY</x:v>
      </x:c>
    </x:row>
    <x:row r="3">
      <x:c r="A3" s="3"/>
      <x:c r="B3" s="3"/>
      <x:c r="C3" s="3"/>
      <x:c r="D3" s="3"/>
      <x:c r="E3" s="3"/>
      <x:c r="F3" s="3"/>
    </x:row>
    <x:row r="5" ht="31.5" customHeight="1">
      <x:c r="A5" s="9" t="str">
        <x:v>ID</x:v>
      </x:c>
      <x:c r="B5" s="9" t="str">
        <x:v>Component</x:v>
      </x:c>
      <x:c r="C5" s="9" t="str">
        <x:v>Model</x:v>
      </x:c>
      <x:c r="D5" s="9" t="str">
        <x:v>Supplier</x:v>
      </x:c>
      <x:c r="E5" s="9" t="str">
        <x:v>Quantity</x:v>
      </x:c>
      <x:c r="F5" s="9" t="str">
        <x:v>Notes</x:v>
      </x:c>
    </x:row>
    <x:row r="6" ht="35.25" customHeight="1">
      <x:c r="A6" s="14" t="n">
        <x:v>1</x:v>
      </x:c>
      <x:c r="B6" s="11" t="str">
        <x:v>Lens tube</x:v>
      </x:c>
      <x:c r="C6" s="11" t="str">
        <x:v>SM1L10</x:v>
      </x:c>
      <x:c r="D6" s="11" t="str">
        <x:v>Thorlabs</x:v>
      </x:c>
      <x:c r="E6" s="16" t="n">
        <x:v>1</x:v>
      </x:c>
      <x:c r="F6" s="11"/>
    </x:row>
    <x:row r="7" ht="35.25" customHeight="1">
      <x:c r="A7" s="15" t="n">
        <x:v>2</x:v>
      </x:c>
      <x:c r="B7" s="13" t="str">
        <x:v>Cage-plate adapter</x:v>
      </x:c>
      <x:c r="C7" s="13" t="str">
        <x:v>LCP33/M</x:v>
      </x:c>
      <x:c r="D7" s="13" t="str">
        <x:v>Thorlabs</x:v>
      </x:c>
      <x:c r="E7" s="17" t="n">
        <x:v>1</x:v>
      </x:c>
      <x:c r="F7" s="13"/>
    </x:row>
    <x:row r="8" ht="35.25" customHeight="1">
      <x:c r="A8" s="14" t="n">
        <x:v>3</x:v>
      </x:c>
      <x:c r="B8" s="11" t="str">
        <x:v>Cage assembly rods</x:v>
      </x:c>
      <x:c r="C8" s="11" t="str">
        <x:v>ER2-P4</x:v>
      </x:c>
      <x:c r="D8" s="11" t="str">
        <x:v>Thorlabs</x:v>
      </x:c>
      <x:c r="E8" s="16" t="n">
        <x:v>4</x:v>
      </x:c>
      <x:c r="F8" s="11"/>
    </x:row>
    <x:row r="9" ht="35.25" customHeight="1">
      <x:c r="A9" s="15" t="n">
        <x:v>4</x:v>
      </x:c>
      <x:c r="B9" s="13" t="str">
        <x:v>Cage assembly rods</x:v>
      </x:c>
      <x:c r="C9" s="13" t="str">
        <x:v>ER8-P4</x:v>
      </x:c>
      <x:c r="D9" s="13" t="str">
        <x:v>Thorlabs</x:v>
      </x:c>
      <x:c r="E9" s="17" t="n">
        <x:v>2</x:v>
      </x:c>
      <x:c r="F9" s="13"/>
    </x:row>
    <x:row r="10" ht="35.25" customHeight="1">
      <x:c r="A10" s="14" t="n">
        <x:v>5</x:v>
      </x:c>
      <x:c r="B10" s="11" t="str">
        <x:v>Cage-system cover</x:v>
      </x:c>
      <x:c r="C10" s="11" t="str">
        <x:v>C30L24</x:v>
      </x:c>
      <x:c r="D10" s="11" t="str">
        <x:v>Thorlabs</x:v>
      </x:c>
      <x:c r="E10" s="16" t="n">
        <x:v>1</x:v>
      </x:c>
      <x:c r="F10" s="11"/>
    </x:row>
    <x:row r="11" ht="35.25" customHeight="1">
      <x:c r="A11" s="15" t="n">
        <x:v>6</x:v>
      </x:c>
      <x:c r="B11" s="13" t="str">
        <x:v>Cage-system cover</x:v>
      </x:c>
      <x:c r="C11" s="13" t="str">
        <x:v>C60L24</x:v>
      </x:c>
      <x:c r="D11" s="13" t="str">
        <x:v>Thorlabs</x:v>
      </x:c>
      <x:c r="E11" s="17" t="n">
        <x:v>1</x:v>
      </x:c>
      <x:c r="F11" s="13"/>
    </x:row>
    <x:row r="12" ht="35.25" customHeight="1">
      <x:c r="A12" s="14" t="n">
        <x:v>7</x:v>
      </x:c>
      <x:c r="B12" s="11" t="str">
        <x:v>Epi-illumination port adapter</x:v>
      </x:c>
      <x:c r="C12" s="11" t="str">
        <x:v>SM2N1</x:v>
      </x:c>
      <x:c r="D12" s="11" t="str">
        <x:v>Thorlabs</x:v>
      </x:c>
      <x:c r="E12" s="16" t="n">
        <x:v>1</x:v>
      </x:c>
      <x:c r="F12" s="11"/>
    </x:row>
    <x:row r="13" ht="35.25" customHeight="1">
      <x:c r="A13" s="15" t="n">
        <x:v>8</x:v>
      </x:c>
      <x:c r="B13" s="13" t="str">
        <x:v>Adapter</x:v>
      </x:c>
      <x:c r="C13" s="13" t="str">
        <x:v>SM1A10</x:v>
      </x:c>
      <x:c r="D13" s="13" t="str">
        <x:v>Thorlabs</x:v>
      </x:c>
      <x:c r="E13" s="17" t="n">
        <x:v>1</x:v>
      </x:c>
      <x:c r="F13" s="13"/>
    </x:row>
    <x:row r="14" ht="35.25" customHeight="1">
      <x:c r="A14" s="14" t="n">
        <x:v>9</x:v>
      </x:c>
      <x:c r="B14" s="11" t="str">
        <x:v>Filter</x:v>
      </x:c>
      <x:c r="C14" s="11" t="str">
        <x:v>FGL400M</x:v>
      </x:c>
      <x:c r="D14" s="11" t="str">
        <x:v>Thorlabs</x:v>
      </x:c>
      <x:c r="E14" s="16" t="n">
        <x:v>1</x:v>
      </x:c>
      <x:c r="F14" s="11"/>
    </x:row>
    <x:row r="15" ht="35.25" customHeight="1">
      <x:c r="A15" s="15" t="n">
        <x:v>10</x:v>
      </x:c>
      <x:c r="B15" s="13" t="str">
        <x:v>Cage cube</x:v>
      </x:c>
      <x:c r="C15" s="13" t="str">
        <x:v>C6WR</x:v>
      </x:c>
      <x:c r="D15" s="13" t="str">
        <x:v>Thorlabs</x:v>
      </x:c>
      <x:c r="E15" s="17" t="n">
        <x:v>6</x:v>
      </x:c>
      <x:c r="F15" s="13"/>
    </x:row>
    <x:row r="16" ht="35.25" customHeight="1">
      <x:c r="A16" s="14" t="n">
        <x:v>11</x:v>
      </x:c>
      <x:c r="B16" s="11" t="str">
        <x:v>Longpass dichroic mirror</x:v>
      </x:c>
      <x:c r="C16" s="11" t="str">
        <x:v>DMLP505R</x:v>
      </x:c>
      <x:c r="D16" s="11" t="str">
        <x:v>Thorlabs</x:v>
      </x:c>
      <x:c r="E16" s="16" t="n">
        <x:v>2</x:v>
      </x:c>
      <x:c r="F16" s="11"/>
    </x:row>
    <x:row r="17" ht="35.25" customHeight="1">
      <x:c r="A17" s="15" t="n">
        <x:v>12</x:v>
      </x:c>
      <x:c r="B17" s="13" t="str">
        <x:v>Longpass dichroic mirror</x:v>
      </x:c>
      <x:c r="C17" s="13" t="str">
        <x:v>DMLP550R</x:v>
      </x:c>
      <x:c r="D17" s="13" t="str">
        <x:v>Thorlabs</x:v>
      </x:c>
      <x:c r="E17" s="17" t="n">
        <x:v>2</x:v>
      </x:c>
      <x:c r="F17" s="13"/>
    </x:row>
    <x:row r="18" ht="35.25" customHeight="1">
      <x:c r="A18" s="14" t="n">
        <x:v>13</x:v>
      </x:c>
      <x:c r="B18" s="11" t="str">
        <x:v>Longpass dichroic mirror</x:v>
      </x:c>
      <x:c r="C18" s="11" t="str">
        <x:v>DMLP650R</x:v>
      </x:c>
      <x:c r="D18" s="11" t="str">
        <x:v>Thorlabs</x:v>
      </x:c>
      <x:c r="E18" s="16" t="n">
        <x:v>1</x:v>
      </x:c>
      <x:c r="F18" s="11"/>
    </x:row>
    <x:row r="19" ht="35.25" customHeight="1">
      <x:c r="A19" s="15" t="n">
        <x:v>14</x:v>
      </x:c>
      <x:c r="B19" s="13" t="str">
        <x:v>Cover plate</x:v>
      </x:c>
      <x:c r="C19" s="13" t="str">
        <x:v>B1C</x:v>
      </x:c>
      <x:c r="D19" s="13" t="str">
        <x:v>Thorlabs</x:v>
      </x:c>
      <x:c r="E19" s="17" t="n">
        <x:v>6</x:v>
      </x:c>
      <x:c r="F19" s="13"/>
    </x:row>
    <x:row r="20" ht="35.25" customHeight="1">
      <x:c r="A20" s="14" t="n">
        <x:v>15</x:v>
      </x:c>
      <x:c r="B20" s="11" t="str">
        <x:v>Rotating cover plate</x:v>
      </x:c>
      <x:c r="C20" s="11" t="str">
        <x:v>B3C</x:v>
      </x:c>
      <x:c r="D20" s="11" t="str">
        <x:v>Thorlabs</x:v>
      </x:c>
      <x:c r="E20" s="16" t="n">
        <x:v>6</x:v>
      </x:c>
      <x:c r="F20" s="11"/>
    </x:row>
    <x:row r="21" ht="35.25" customHeight="1">
      <x:c r="A21" s="15" t="n">
        <x:v>16</x:v>
      </x:c>
      <x:c r="B21" s="13" t="str">
        <x:v>Filter holder</x:v>
      </x:c>
      <x:c r="C21" s="13" t="str">
        <x:v>FFM1</x:v>
      </x:c>
      <x:c r="D21" s="13" t="str">
        <x:v>Thorlabs</x:v>
      </x:c>
      <x:c r="E21" s="17" t="n">
        <x:v>6</x:v>
      </x:c>
      <x:c r="F21" s="13"/>
    </x:row>
    <x:row r="22" ht="35.25" customHeight="1">
      <x:c r="A22" s="14" t="n">
        <x:v>17</x:v>
      </x:c>
      <x:c r="B22" s="11" t="str">
        <x:v>Dust cap</x:v>
      </x:c>
      <x:c r="C22" s="11" t="str">
        <x:v>SM1CP2</x:v>
      </x:c>
      <x:c r="D22" s="11" t="str">
        <x:v>Thorlabs</x:v>
      </x:c>
      <x:c r="E22" s="16" t="n">
        <x:v>8</x:v>
      </x:c>
      <x:c r="F22" s="11"/>
    </x:row>
    <x:row r="23" ht="35.25" customHeight="1">
      <x:c r="A23" s="15" t="n">
        <x:v>18</x:v>
      </x:c>
      <x:c r="B23" s="13" t="str">
        <x:v>Retaining ring</x:v>
      </x:c>
      <x:c r="C23" s="13" t="str">
        <x:v>SM1RR</x:v>
      </x:c>
      <x:c r="D23" s="13" t="str">
        <x:v>Thorlabs</x:v>
      </x:c>
      <x:c r="E23" s="17" t="n">
        <x:v>4</x:v>
      </x:c>
      <x:c r="F23" s="13"/>
    </x:row>
    <x:row r="24" ht="35.25" customHeight="1">
      <x:c r="A24" s="14" t="n">
        <x:v>19</x:v>
      </x:c>
      <x:c r="B24" s="11" t="str">
        <x:v>Lens tube</x:v>
      </x:c>
      <x:c r="C24" s="11" t="str">
        <x:v>SM1L05</x:v>
      </x:c>
      <x:c r="D24" s="11" t="str">
        <x:v>Thorlabs</x:v>
      </x:c>
      <x:c r="E24" s="16" t="n">
        <x:v>6</x:v>
      </x:c>
      <x:c r="F24" s="11"/>
    </x:row>
    <x:row r="25" ht="35.25" customHeight="1">
      <x:c r="A25" s="15" t="n">
        <x:v>20</x:v>
      </x:c>
      <x:c r="B25" s="13" t="str">
        <x:v>Hard-coated bandpass filter</x:v>
      </x:c>
      <x:c r="C25" s="13" t="str">
        <x:v>FBH520-40</x:v>
      </x:c>
      <x:c r="D25" s="13" t="str">
        <x:v>Thorlabs</x:v>
      </x:c>
      <x:c r="E25" s="17" t="n">
        <x:v>1</x:v>
      </x:c>
      <x:c r="F25" s="13" t="str">
        <x:v>eGFP emission</x:v>
      </x:c>
    </x:row>
    <x:row r="26" ht="35.25" customHeight="1">
      <x:c r="A26" s="14" t="n">
        <x:v>21</x:v>
      </x:c>
      <x:c r="B26" s="11" t="str">
        <x:v>Hard-coated bandpass filter</x:v>
      </x:c>
      <x:c r="C26" s="11" t="str">
        <x:v>FBH600-40</x:v>
      </x:c>
      <x:c r="D26" s="11" t="str">
        <x:v>Thorlabs</x:v>
      </x:c>
      <x:c r="E26" s="16" t="n">
        <x:v>1</x:v>
      </x:c>
      <x:c r="F26" s="11" t="str">
        <x:v>mCherry emission</x:v>
      </x:c>
    </x:row>
    <x:row r="27" ht="35.25" customHeight="1">
      <x:c r="A27" s="15" t="n">
        <x:v>22</x:v>
      </x:c>
      <x:c r="B27" s="13" t="str">
        <x:v>Adjustable iris</x:v>
      </x:c>
      <x:c r="C27" s="13" t="str">
        <x:v>SM1D12</x:v>
      </x:c>
      <x:c r="D27" s="13" t="str">
        <x:v>Thorlabs</x:v>
      </x:c>
      <x:c r="E27" s="17" t="n">
        <x:v>3</x:v>
      </x:c>
      <x:c r="F27" s="13"/>
    </x:row>
    <x:row r="28" ht="35.25" customHeight="1">
      <x:c r="A28" s="14" t="n">
        <x:v>23</x:v>
      </x:c>
      <x:c r="B28" s="11" t="str">
        <x:v>Lens tube</x:v>
      </x:c>
      <x:c r="C28" s="11" t="str">
        <x:v>SM1V05</x:v>
      </x:c>
      <x:c r="D28" s="11" t="str">
        <x:v>Thorlabs</x:v>
      </x:c>
      <x:c r="E28" s="16" t="n">
        <x:v>4</x:v>
      </x:c>
      <x:c r="F28" s="11"/>
    </x:row>
    <x:row r="29" ht="35.25" customHeight="1">
      <x:c r="A29" s="15" t="n">
        <x:v>24</x:v>
      </x:c>
      <x:c r="B29" s="13" t="str">
        <x:v>Adapter</x:v>
      </x:c>
      <x:c r="C29" s="13" t="str">
        <x:v>SM1T10</x:v>
      </x:c>
      <x:c r="D29" s="13" t="str">
        <x:v>Thorlabs</x:v>
      </x:c>
      <x:c r="E29" s="17" t="n">
        <x:v>4</x:v>
      </x:c>
      <x:c r="F29" s="13"/>
    </x:row>
    <x:row r="30" ht="35.25" customHeight="1">
      <x:c r="A30" s="14" t="n">
        <x:v>25</x:v>
      </x:c>
      <x:c r="B30" s="11" t="str">
        <x:v>Lens-tube spacer</x:v>
      </x:c>
      <x:c r="C30" s="11" t="str">
        <x:v>SM1S10</x:v>
      </x:c>
      <x:c r="D30" s="11" t="str">
        <x:v>Thorlabs</x:v>
      </x:c>
      <x:c r="E30" s="16" t="n">
        <x:v>4</x:v>
      </x:c>
      <x:c r="F30" s="11"/>
    </x:row>
    <x:row r="31" ht="35.25" customHeight="1">
      <x:c r="A31" s="15" t="n">
        <x:v>26</x:v>
      </x:c>
      <x:c r="B31" s="13" t="str">
        <x:v>Machined adapter</x:v>
      </x:c>
      <x:c r="C31" s="13" t="str">
        <x:v>PMT-to-SM1T10 adapter</x:v>
      </x:c>
      <x:c r="D31" s="13" t="str">
        <x:v>Taobao machining service</x:v>
      </x:c>
      <x:c r="E31" s="17" t="n">
        <x:v>4</x:v>
      </x:c>
      <x:c r="F31" s="13" t="str">
        <x:v>Custom part; provide a dimensioned drawing to the fabricator.</x:v>
      </x:c>
    </x:row>
    <x:row r="32" ht="35.25" customHeight="1">
      <x:c r="A32" s="14" t="n">
        <x:v>27</x:v>
      </x:c>
      <x:c r="B32" s="11" t="str">
        <x:v>Infrared longpass filter</x:v>
      </x:c>
      <x:c r="C32" s="11" t="str">
        <x:v>Passband above 670 nm</x:v>
      </x:c>
      <x:c r="D32" s="11" t="str">
        <x:v>Taobao custom supplier</x:v>
      </x:c>
      <x:c r="E32" s="16" t="n">
        <x:v>1</x:v>
      </x:c>
      <x:c r="F32" s="11" t="str">
        <x:v>45 mm diameter; 1 mm thickness.</x:v>
      </x:c>
    </x:row>
    <x:row r="33" ht="35.25" customHeight="1">
      <x:c r="A33" s="15" t="n">
        <x:v>28</x:v>
      </x:c>
      <x:c r="B33" s="13" t="str">
        <x:v>Mirror</x:v>
      </x:c>
      <x:c r="C33" s="13" t="str">
        <x:v>GMEH-25x36x1-AG</x:v>
      </x:c>
      <x:c r="D33" s="13" t="str">
        <x:v>Taobao</x:v>
      </x:c>
      <x:c r="E33" s="17" t="n">
        <x:v>1</x:v>
      </x:c>
      <x:c r="F33" s="13"/>
    </x:row>
    <x:row r="34" ht="35.25" customHeight="1">
      <x:c r="A34" s="14" t="n">
        <x:v>29</x:v>
      </x:c>
      <x:c r="B34" s="11" t="str">
        <x:v>Light enclosure</x:v>
      </x:c>
      <x:c r="C34" s="11" t="str">
        <x:v>Custom</x:v>
      </x:c>
      <x:c r="D34" s="11" t="str">
        <x:v>Mingjue Chuangwu</x:v>
      </x:c>
      <x:c r="E34" s="16" t="n">
        <x:v>1</x:v>
      </x:c>
      <x:c r="F34" s="11" t="str">
        <x:v>Ambient-light shielding</x:v>
      </x:c>
    </x:row>
  </x:sheetData>
  <x:pageMargins left="0.7" right="0.7" top="0.75" bottom="0.75" header="0.3" footer="0.3"/>
  <x:tableParts count="1">
    <x:tablePart xmlns:r="http://schemas.openxmlformats.org/officeDocument/2006/relationships" r:id="Ra83deff269db4d77"/>
  </x:tableParts>
</x:worksheet>
</file>

<file path=xl/worksheets/sheet3.xml><?xml version="1.0" encoding="utf-8"?>
<x:worksheet xmlns:x="http://schemas.openxmlformats.org/spreadsheetml/2006/main">
  <x:sheetPr>
    <x:tabColor rgb="FF1A6B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.75" hidden="0" customWidth="1"/>
    <x:col min="2" max="2" width="47.5" hidden="0" customWidth="1"/>
    <x:col min="3" max="3" width="23.1299991607666" hidden="0" customWidth="1"/>
    <x:col min="4" max="4" width="8.130000114440918" hidden="0" customWidth="1"/>
    <x:col min="5" max="5" width="8.130000114440918" hidden="0" customWidth="1"/>
    <x:col min="6" max="6" width="15" hidden="0" customWidth="1"/>
    <x:col min="7" max="7" width="16.8799991607666" hidden="0" customWidth="1"/>
  </x:cols>
  <x:sheetData>
    <x:row r="1" ht="28.5" customHeight="1">
      <x:c r="A1" s="1" t="str">
        <x:v>Optical Base Quote</x:v>
      </x:c>
    </x:row>
    <x:row r="2" ht="19.5" customHeight="1">
      <x:c r="A2" s="2" t="str">
        <x:v>NEFU-China Open Microfluidic Platform | Historical quotation dated 2026-04-21 | CNY</x:v>
      </x:c>
    </x:row>
    <x:row r="3">
      <x:c r="A3" s="3"/>
      <x:c r="B3" s="3"/>
      <x:c r="C3" s="3"/>
      <x:c r="D3" s="3"/>
      <x:c r="E3" s="3"/>
      <x:c r="F3" s="3"/>
      <x:c r="G3" s="3"/>
    </x:row>
    <x:row r="5" ht="31.5" customHeight="1">
      <x:c r="A5" s="9" t="str">
        <x:v>ID</x:v>
      </x:c>
      <x:c r="B5" s="9" t="str">
        <x:v>Product</x:v>
      </x:c>
      <x:c r="C5" s="9" t="str">
        <x:v>Model</x:v>
      </x:c>
      <x:c r="D5" s="9" t="str">
        <x:v>Quantity</x:v>
      </x:c>
      <x:c r="E5" s="9" t="str">
        <x:v>Unit</x:v>
      </x:c>
      <x:c r="F5" s="9" t="str">
        <x:v>Unit price (CNY)</x:v>
      </x:c>
      <x:c r="G5" s="9" t="str">
        <x:v>Line total (CNY)</x:v>
      </x:c>
    </x:row>
    <x:row r="6" ht="32.25" customHeight="1">
      <x:c r="A6" s="14" t="n">
        <x:v>1</x:v>
      </x:c>
      <x:c r="B6" s="11" t="str">
        <x:v>Plan apochromatic objective</x:v>
      </x:c>
      <x:c r="C6" s="11" t="str">
        <x:v>MOPL5X</x:v>
      </x:c>
      <x:c r="D6" s="16" t="n">
        <x:v>1</x:v>
      </x:c>
      <x:c r="E6" s="11" t="str">
        <x:v>piece</x:v>
      </x:c>
      <x:c r="F6" s="18" t="n">
        <x:v>1806</x:v>
      </x:c>
      <x:c r="G6" s="18" t="n">
        <x:f>D6*F6</x:f>
        <x:v>1806</x:v>
      </x:c>
    </x:row>
    <x:row r="7" ht="32.25" customHeight="1">
      <x:c r="A7" s="15" t="n">
        <x:v>2</x:v>
      </x:c>
      <x:c r="B7" s="13" t="str">
        <x:v>30 mm threaded cage plate</x:v>
      </x:c>
      <x:c r="C7" s="13" t="str">
        <x:v>CSJ-30</x:v>
      </x:c>
      <x:c r="D7" s="17" t="n">
        <x:v>1</x:v>
      </x:c>
      <x:c r="E7" s="13" t="str">
        <x:v>piece</x:v>
      </x:c>
      <x:c r="F7" s="19" t="n">
        <x:v>75</x:v>
      </x:c>
      <x:c r="G7" s="19" t="n">
        <x:f>D7*F7</x:f>
        <x:v>75</x:v>
      </x:c>
    </x:row>
    <x:row r="8" ht="32.25" customHeight="1">
      <x:c r="A8" s="14" t="n">
        <x:v>3</x:v>
      </x:c>
      <x:c r="B8" s="11" t="str">
        <x:v>PCM-S series 6 mm rods</x:v>
      </x:c>
      <x:c r="C8" s="11" t="str">
        <x:v>PCM-S19</x:v>
      </x:c>
      <x:c r="D8" s="16" t="n">
        <x:v>4</x:v>
      </x:c>
      <x:c r="E8" s="11" t="str">
        <x:v>rod</x:v>
      </x:c>
      <x:c r="F8" s="18" t="n">
        <x:v>15</x:v>
      </x:c>
      <x:c r="G8" s="18" t="n">
        <x:f>D8*F8</x:f>
        <x:v>60</x:v>
      </x:c>
    </x:row>
    <x:row r="9" ht="32.25" customHeight="1">
      <x:c r="A9" s="15" t="n">
        <x:v>4</x:v>
      </x:c>
      <x:c r="B9" s="13" t="str">
        <x:v>30 mm right-angle adjustment mount</x:v>
      </x:c>
      <x:c r="C9" s="13" t="str">
        <x:v>KCD1L-EC</x:v>
      </x:c>
      <x:c r="D9" s="17" t="n">
        <x:v>1</x:v>
      </x:c>
      <x:c r="E9" s="13" t="str">
        <x:v>piece</x:v>
      </x:c>
      <x:c r="F9" s="19" t="n">
        <x:v>638</x:v>
      </x:c>
      <x:c r="G9" s="19" t="n">
        <x:f>D9*F9</x:f>
        <x:v>638</x:v>
      </x:c>
    </x:row>
    <x:row r="10" ht="32.25" customHeight="1">
      <x:c r="A10" s="14" t="n">
        <x:v>5</x:v>
      </x:c>
      <x:c r="B10" s="11" t="str">
        <x:v>Elliptical mirror</x:v>
      </x:c>
      <x:c r="C10" s="11" t="str">
        <x:v>TFA-E25.4</x:v>
      </x:c>
      <x:c r="D10" s="16" t="n">
        <x:v>1</x:v>
      </x:c>
      <x:c r="E10" s="11" t="str">
        <x:v>piece</x:v>
      </x:c>
      <x:c r="F10" s="18" t="n">
        <x:v>185</x:v>
      </x:c>
      <x:c r="G10" s="18" t="n">
        <x:f>D10*F10</x:f>
        <x:v>185</x:v>
      </x:c>
    </x:row>
    <x:row r="11" ht="32.25" customHeight="1">
      <x:c r="A11" s="15" t="n">
        <x:v>6</x:v>
      </x:c>
      <x:c r="B11" s="13" t="str">
        <x:v>PCM-E series 6 mm rods</x:v>
      </x:c>
      <x:c r="C11" s="13" t="str">
        <x:v>PCM-E0.5</x:v>
      </x:c>
      <x:c r="D11" s="17" t="n">
        <x:v>4</x:v>
      </x:c>
      <x:c r="E11" s="13" t="str">
        <x:v>rod</x:v>
      </x:c>
      <x:c r="F11" s="19" t="n">
        <x:v>14</x:v>
      </x:c>
      <x:c r="G11" s="19" t="n">
        <x:f>D11*F11</x:f>
        <x:v>56</x:v>
      </x:c>
    </x:row>
    <x:row r="12" ht="32.25" customHeight="1">
      <x:c r="A12" s="14" t="n">
        <x:v>7</x:v>
      </x:c>
      <x:c r="B12" s="11" t="str">
        <x:v>30 mm screw-fastened cube (base and insert)</x:v>
      </x:c>
      <x:c r="C12" s="11" t="str">
        <x:v>M2-BFD30</x:v>
      </x:c>
      <x:c r="D12" s="16" t="n">
        <x:v>1</x:v>
      </x:c>
      <x:c r="E12" s="11" t="str">
        <x:v>piece</x:v>
      </x:c>
      <x:c r="F12" s="18" t="n">
        <x:v>1208</x:v>
      </x:c>
      <x:c r="G12" s="18" t="n">
        <x:f>D12*F12</x:f>
        <x:v>1208</x:v>
      </x:c>
    </x:row>
    <x:row r="13" ht="32.25" customHeight="1">
      <x:c r="A13" s="15" t="n">
        <x:v>8</x:v>
      </x:c>
      <x:c r="B13" s="13" t="str">
        <x:v>30 mm dust cap</x:v>
      </x:c>
      <x:c r="C13" s="13" t="str">
        <x:v>CSL-P1</x:v>
      </x:c>
      <x:c r="D13" s="17" t="n">
        <x:v>1</x:v>
      </x:c>
      <x:c r="E13" s="13" t="str">
        <x:v>piece</x:v>
      </x:c>
      <x:c r="F13" s="19" t="n">
        <x:v>43</x:v>
      </x:c>
      <x:c r="G13" s="19" t="n">
        <x:f>D13*F13</x:f>
        <x:v>43</x:v>
      </x:c>
    </x:row>
    <x:row r="14" ht="32.25" customHeight="1">
      <x:c r="A14" s="14" t="n">
        <x:v>9</x:v>
      </x:c>
      <x:c r="B14" s="11" t="str">
        <x:v>Fluorescence filter set (FITC/eGFP/Alexa Fluor 488)</x:v>
      </x:c>
      <x:c r="C14" s="11" t="str">
        <x:v>—</x:v>
      </x:c>
      <x:c r="D14" s="16" t="n">
        <x:v>1</x:v>
      </x:c>
      <x:c r="E14" s="11" t="str">
        <x:v>set</x:v>
      </x:c>
      <x:c r="F14" s="18" t="n">
        <x:v>1929</x:v>
      </x:c>
      <x:c r="G14" s="18" t="n">
        <x:f>D14*F14</x:f>
        <x:v>1929</x:v>
      </x:c>
    </x:row>
    <x:row r="15" ht="32.25" customHeight="1">
      <x:c r="A15" s="15" t="n">
        <x:v>10</x:v>
      </x:c>
      <x:c r="B15" s="13" t="str">
        <x:v>1 in tube shielding assembly</x:v>
      </x:c>
      <x:c r="C15" s="13" t="str">
        <x:v>CSA-14X</x:v>
      </x:c>
      <x:c r="D15" s="17" t="n">
        <x:v>1</x:v>
      </x:c>
      <x:c r="E15" s="13" t="str">
        <x:v>piece</x:v>
      </x:c>
      <x:c r="F15" s="19" t="n">
        <x:v>73</x:v>
      </x:c>
      <x:c r="G15" s="19" t="n">
        <x:f>D15*F15</x:f>
        <x:v>73</x:v>
      </x:c>
    </x:row>
    <x:row r="16" ht="32.25" customHeight="1">
      <x:c r="A16" s="14" t="n">
        <x:v>11</x:v>
      </x:c>
      <x:c r="B16" s="11" t="str">
        <x:v>Cage-rod adapters (4 per set)</x:v>
      </x:c>
      <x:c r="C16" s="11" t="str">
        <x:v>SCB1</x:v>
      </x:c>
      <x:c r="D16" s="16" t="n">
        <x:v>1</x:v>
      </x:c>
      <x:c r="E16" s="11" t="str">
        <x:v>set</x:v>
      </x:c>
      <x:c r="F16" s="18" t="n">
        <x:v>152</x:v>
      </x:c>
      <x:c r="G16" s="18" t="n">
        <x:f>D16*F16</x:f>
        <x:v>152</x:v>
      </x:c>
    </x:row>
    <x:row r="17" ht="32.25" customHeight="1">
      <x:c r="A17" s="15" t="n">
        <x:v>12</x:v>
      </x:c>
      <x:c r="B17" s="13" t="str">
        <x:v>PCM-E series 6 mm rods</x:v>
      </x:c>
      <x:c r="C17" s="13" t="str">
        <x:v>PCM-E0.5</x:v>
      </x:c>
      <x:c r="D17" s="17" t="n">
        <x:v>4</x:v>
      </x:c>
      <x:c r="E17" s="13" t="str">
        <x:v>rod</x:v>
      </x:c>
      <x:c r="F17" s="19" t="n">
        <x:v>14</x:v>
      </x:c>
      <x:c r="G17" s="19" t="n">
        <x:f>D17*F17</x:f>
        <x:v>56</x:v>
      </x:c>
    </x:row>
    <x:row r="18" ht="32.25" customHeight="1">
      <x:c r="A18" s="14" t="n">
        <x:v>13</x:v>
      </x:c>
      <x:c r="B18" s="11" t="str">
        <x:v>30 mm screw-fastened cube (base and insert)</x:v>
      </x:c>
      <x:c r="C18" s="11" t="str">
        <x:v>M2-BFD30</x:v>
      </x:c>
      <x:c r="D18" s="16" t="n">
        <x:v>1</x:v>
      </x:c>
      <x:c r="E18" s="11" t="str">
        <x:v>piece</x:v>
      </x:c>
      <x:c r="F18" s="18" t="n">
        <x:v>1208</x:v>
      </x:c>
      <x:c r="G18" s="18" t="n">
        <x:f>D18*F18</x:f>
        <x:v>1208</x:v>
      </x:c>
    </x:row>
    <x:row r="19" ht="32.25" customHeight="1">
      <x:c r="A19" s="15" t="n">
        <x:v>14</x:v>
      </x:c>
      <x:c r="B19" s="13" t="str">
        <x:v>30 mm dust cap</x:v>
      </x:c>
      <x:c r="C19" s="13" t="str">
        <x:v>CSL-P1</x:v>
      </x:c>
      <x:c r="D19" s="17" t="n">
        <x:v>1</x:v>
      </x:c>
      <x:c r="E19" s="13" t="str">
        <x:v>piece</x:v>
      </x:c>
      <x:c r="F19" s="19" t="n">
        <x:v>43</x:v>
      </x:c>
      <x:c r="G19" s="19" t="n">
        <x:f>D19*F19</x:f>
        <x:v>43</x:v>
      </x:c>
    </x:row>
    <x:row r="20" ht="32.25" customHeight="1">
      <x:c r="A20" s="14" t="n">
        <x:v>15</x:v>
      </x:c>
      <x:c r="B20" s="11" t="str">
        <x:v>Plate beamsplitter</x:v>
      </x:c>
      <x:c r="C20" s="11" t="str">
        <x:v>PSMH-S36-M</x:v>
      </x:c>
      <x:c r="D20" s="16" t="n">
        <x:v>1</x:v>
      </x:c>
      <x:c r="E20" s="11" t="str">
        <x:v>piece</x:v>
      </x:c>
      <x:c r="F20" s="18" t="n">
        <x:v>98</x:v>
      </x:c>
      <x:c r="G20" s="18" t="n">
        <x:f>D20*F20</x:f>
        <x:v>98</x:v>
      </x:c>
    </x:row>
    <x:row r="21" ht="32.25" customHeight="1">
      <x:c r="A21" s="15" t="n">
        <x:v>16</x:v>
      </x:c>
      <x:c r="B21" s="13" t="str">
        <x:v>PCM-S series 6 mm rods</x:v>
      </x:c>
      <x:c r="C21" s="13" t="str">
        <x:v>PCM-S114</x:v>
      </x:c>
      <x:c r="D21" s="17" t="n">
        <x:v>4</x:v>
      </x:c>
      <x:c r="E21" s="13" t="str">
        <x:v>rod</x:v>
      </x:c>
      <x:c r="F21" s="19" t="n">
        <x:v>30</x:v>
      </x:c>
      <x:c r="G21" s="19" t="n">
        <x:f>D21*F21</x:f>
        <x:v>120</x:v>
      </x:c>
    </x:row>
    <x:row r="22" ht="32.25" customHeight="1">
      <x:c r="A22" s="14" t="n">
        <x:v>17</x:v>
      </x:c>
      <x:c r="B22" s="11" t="str">
        <x:v>30 mm threaded cage plate</x:v>
      </x:c>
      <x:c r="C22" s="11" t="str">
        <x:v>CSJ-30</x:v>
      </x:c>
      <x:c r="D22" s="16" t="n">
        <x:v>1</x:v>
      </x:c>
      <x:c r="E22" s="11" t="str">
        <x:v>piece</x:v>
      </x:c>
      <x:c r="F22" s="18" t="n">
        <x:v>75</x:v>
      </x:c>
      <x:c r="G22" s="18" t="n">
        <x:f>D22*F22</x:f>
        <x:v>75</x:v>
      </x:c>
    </x:row>
    <x:row r="23" ht="32.25" customHeight="1">
      <x:c r="A23" s="15" t="n">
        <x:v>18</x:v>
      </x:c>
      <x:c r="B23" s="13" t="str">
        <x:v>30 mm adjustable cage optic mount</x:v>
      </x:c>
      <x:c r="C23" s="13" t="str">
        <x:v>MC-T1</x:v>
      </x:c>
      <x:c r="D23" s="17" t="n">
        <x:v>1</x:v>
      </x:c>
      <x:c r="E23" s="13" t="str">
        <x:v>piece</x:v>
      </x:c>
      <x:c r="F23" s="19" t="n">
        <x:v>295</x:v>
      </x:c>
      <x:c r="G23" s="19" t="n">
        <x:f>D23*F23</x:f>
        <x:v>295</x:v>
      </x:c>
    </x:row>
    <x:row r="24" ht="32.25" customHeight="1">
      <x:c r="A24" s="14" t="n">
        <x:v>19</x:v>
      </x:c>
      <x:c r="B24" s="11" t="str">
        <x:v>Adapter mounting socket</x:v>
      </x:c>
      <x:c r="C24" s="11" t="str">
        <x:v>POT-12</x:v>
      </x:c>
      <x:c r="D24" s="16" t="n">
        <x:v>1</x:v>
      </x:c>
      <x:c r="E24" s="11" t="str">
        <x:v>piece</x:v>
      </x:c>
      <x:c r="F24" s="18" t="n">
        <x:v>36</x:v>
      </x:c>
      <x:c r="G24" s="18" t="n">
        <x:f>D24*F24</x:f>
        <x:v>36</x:v>
      </x:c>
    </x:row>
    <x:row r="25" ht="32.25" customHeight="1">
      <x:c r="A25" s="15" t="n">
        <x:v>20</x:v>
      </x:c>
      <x:c r="B25" s="13" t="str">
        <x:v>12 mm laser module with power supply</x:v>
      </x:c>
      <x:c r="C25" s="13" t="str">
        <x:v>OM-12A488-10-G</x:v>
      </x:c>
      <x:c r="D25" s="17" t="n">
        <x:v>1</x:v>
      </x:c>
      <x:c r="E25" s="13" t="str">
        <x:v>piece</x:v>
      </x:c>
      <x:c r="F25" s="19" t="n">
        <x:v>490</x:v>
      </x:c>
      <x:c r="G25" s="19" t="n">
        <x:f>D25*F25</x:f>
        <x:v>490</x:v>
      </x:c>
    </x:row>
    <x:row r="26" ht="32.25" customHeight="1">
      <x:c r="A26" s="14" t="n">
        <x:v>21</x:v>
      </x:c>
      <x:c r="B26" s="11" t="str">
        <x:v>Tube lens, f = 180 mm</x:v>
      </x:c>
      <x:c r="C26" s="11" t="str">
        <x:v>TMF180</x:v>
      </x:c>
      <x:c r="D26" s="16" t="n">
        <x:v>2</x:v>
      </x:c>
      <x:c r="E26" s="11" t="str">
        <x:v>piece</x:v>
      </x:c>
      <x:c r="F26" s="18" t="n">
        <x:v>552</x:v>
      </x:c>
      <x:c r="G26" s="18" t="n">
        <x:f>D26*F26</x:f>
        <x:v>1104</x:v>
      </x:c>
    </x:row>
    <x:row r="27" ht="32.25" customHeight="1">
      <x:c r="A27" s="15" t="n">
        <x:v>22</x:v>
      </x:c>
      <x:c r="B27" s="13" t="str">
        <x:v>1 in lens tube</x:v>
      </x:c>
      <x:c r="C27" s="13" t="str">
        <x:v>CSB-64</x:v>
      </x:c>
      <x:c r="D27" s="17" t="n">
        <x:v>2</x:v>
      </x:c>
      <x:c r="E27" s="13" t="str">
        <x:v>piece</x:v>
      </x:c>
      <x:c r="F27" s="19" t="n">
        <x:v>70</x:v>
      </x:c>
      <x:c r="G27" s="19" t="n">
        <x:f>D27*F27</x:f>
        <x:v>140</x:v>
      </x:c>
    </x:row>
    <x:row r="28" ht="32.25" customHeight="1">
      <x:c r="A28" s="14" t="n">
        <x:v>23</x:v>
      </x:c>
      <x:c r="B28" s="11" t="str">
        <x:v>PCM-S series 6 mm rods</x:v>
      </x:c>
      <x:c r="C28" s="11" t="str">
        <x:v>PCM-S152</x:v>
      </x:c>
      <x:c r="D28" s="16" t="n">
        <x:v>8</x:v>
      </x:c>
      <x:c r="E28" s="11" t="str">
        <x:v>rod</x:v>
      </x:c>
      <x:c r="F28" s="18" t="n">
        <x:v>35</x:v>
      </x:c>
      <x:c r="G28" s="18" t="n">
        <x:f>D28*F28</x:f>
        <x:v>280</x:v>
      </x:c>
    </x:row>
    <x:row r="29" ht="32.25" customHeight="1">
      <x:c r="A29" s="15" t="n">
        <x:v>24</x:v>
      </x:c>
      <x:c r="B29" s="13" t="str">
        <x:v>1 in tube shielding assembly</x:v>
      </x:c>
      <x:c r="C29" s="13" t="str">
        <x:v>CSA-60X</x:v>
      </x:c>
      <x:c r="D29" s="17" t="n">
        <x:v>2</x:v>
      </x:c>
      <x:c r="E29" s="13" t="str">
        <x:v>piece</x:v>
      </x:c>
      <x:c r="F29" s="19" t="n">
        <x:v>133</x:v>
      </x:c>
      <x:c r="G29" s="19" t="n">
        <x:f>D29*F29</x:f>
        <x:v>266</x:v>
      </x:c>
    </x:row>
    <x:row r="30" ht="32.25" customHeight="1">
      <x:c r="A30" s="14" t="n">
        <x:v>25</x:v>
      </x:c>
      <x:c r="B30" s="11" t="str">
        <x:v>30 mm through-hole cage plate</x:v>
      </x:c>
      <x:c r="C30" s="11" t="str">
        <x:v>CSJ-31</x:v>
      </x:c>
      <x:c r="D30" s="16" t="n">
        <x:v>2</x:v>
      </x:c>
      <x:c r="E30" s="11" t="str">
        <x:v>piece</x:v>
      </x:c>
      <x:c r="F30" s="18" t="n">
        <x:v>93</x:v>
      </x:c>
      <x:c r="G30" s="18" t="n">
        <x:f>D30*F30</x:f>
        <x:v>186</x:v>
      </x:c>
    </x:row>
    <x:row r="31" ht="32.25" customHeight="1">
      <x:c r="A31" s="15" t="n">
        <x:v>26</x:v>
      </x:c>
      <x:c r="B31" s="13" t="str">
        <x:v>Monochrome global-shutter camera</x:v>
      </x:c>
      <x:c r="C31" s="13" t="str">
        <x:v>MUS40M-G</x:v>
      </x:c>
      <x:c r="D31" s="17" t="n">
        <x:v>1</x:v>
      </x:c>
      <x:c r="E31" s="13" t="str">
        <x:v>piece</x:v>
      </x:c>
      <x:c r="F31" s="19" t="n">
        <x:v>3176</x:v>
      </x:c>
      <x:c r="G31" s="19" t="n">
        <x:f>D31*F31</x:f>
        <x:v>3176</x:v>
      </x:c>
    </x:row>
    <x:row r="32" ht="32.25" customHeight="1">
      <x:c r="A32" s="14" t="n">
        <x:v>27</x:v>
      </x:c>
      <x:c r="B32" s="11" t="str">
        <x:v>12.7 mm stainless-steel post</x:v>
      </x:c>
      <x:c r="C32" s="11" t="str">
        <x:v>PCAH1-S</x:v>
      </x:c>
      <x:c r="D32" s="16" t="n">
        <x:v>3</x:v>
      </x:c>
      <x:c r="E32" s="11" t="str">
        <x:v>rod</x:v>
      </x:c>
      <x:c r="F32" s="18" t="n">
        <x:v>10</x:v>
      </x:c>
      <x:c r="G32" s="18" t="n">
        <x:f>D32*F32</x:f>
        <x:v>30</x:v>
      </x:c>
    </x:row>
    <x:row r="33" ht="32.25" customHeight="1">
      <x:c r="A33" s="15" t="n">
        <x:v>28</x:v>
      </x:c>
      <x:c r="B33" s="13" t="str">
        <x:v>CA-A series post holder</x:v>
      </x:c>
      <x:c r="C33" s="13" t="str">
        <x:v>CA30-A</x:v>
      </x:c>
      <x:c r="D33" s="17" t="n">
        <x:v>3</x:v>
      </x:c>
      <x:c r="E33" s="13" t="str">
        <x:v>piece</x:v>
      </x:c>
      <x:c r="F33" s="19" t="n">
        <x:v>40</x:v>
      </x:c>
      <x:c r="G33" s="19" t="n">
        <x:f>D33*F33</x:f>
        <x:v>120</x:v>
      </x:c>
    </x:row>
    <x:row r="34" ht="32.25" customHeight="1">
      <x:c r="A34" s="14" t="n">
        <x:v>29</x:v>
      </x:c>
      <x:c r="B34" s="11" t="str">
        <x:v>Post base</x:v>
      </x:c>
      <x:c r="C34" s="11" t="str">
        <x:v>PCA31-S</x:v>
      </x:c>
      <x:c r="D34" s="16" t="n">
        <x:v>3</x:v>
      </x:c>
      <x:c r="E34" s="11" t="str">
        <x:v>piece</x:v>
      </x:c>
      <x:c r="F34" s="18" t="n">
        <x:v>27</x:v>
      </x:c>
      <x:c r="G34" s="18" t="n">
        <x:f>D34*F34</x:f>
        <x:v>81</x:v>
      </x:c>
    </x:row>
    <x:row r="35" ht="32.25" customHeight="1">
      <x:c r="A35" s="15" t="n">
        <x:v>30</x:v>
      </x:c>
      <x:c r="B35" s="13" t="str">
        <x:v>Clamping fork</x:v>
      </x:c>
      <x:c r="C35" s="13" t="str">
        <x:v>M-BASE-C</x:v>
      </x:c>
      <x:c r="D35" s="17" t="n">
        <x:v>3</x:v>
      </x:c>
      <x:c r="E35" s="13" t="str">
        <x:v>piece</x:v>
      </x:c>
      <x:c r="F35" s="19" t="n">
        <x:v>48</x:v>
      </x:c>
      <x:c r="G35" s="19" t="n">
        <x:f>D35*F35</x:f>
        <x:v>144</x:v>
      </x:c>
    </x:row>
    <x:row r="36" ht="32.25" customHeight="1">
      <x:c r="A36" s="14" t="n">
        <x:v>31</x:v>
      </x:c>
      <x:c r="B36" s="11" t="str">
        <x:v>Microscope-slide holder</x:v>
      </x:c>
      <x:c r="C36" s="11" t="str">
        <x:v>X3-SLH</x:v>
      </x:c>
      <x:c r="D36" s="16" t="n">
        <x:v>1</x:v>
      </x:c>
      <x:c r="E36" s="11" t="str">
        <x:v>piece</x:v>
      </x:c>
      <x:c r="F36" s="18" t="n">
        <x:v>378</x:v>
      </x:c>
      <x:c r="G36" s="18" t="n">
        <x:f>D36*F36</x:f>
        <x:v>378</x:v>
      </x:c>
    </x:row>
    <x:row r="37" ht="32.25" customHeight="1">
      <x:c r="A37" s="15" t="n">
        <x:v>32</x:v>
      </x:c>
      <x:c r="B37" s="13" t="str">
        <x:v>Small right-angle adapter</x:v>
      </x:c>
      <x:c r="C37" s="13" t="str">
        <x:v>APT-L2</x:v>
      </x:c>
      <x:c r="D37" s="17" t="n">
        <x:v>1</x:v>
      </x:c>
      <x:c r="E37" s="13" t="str">
        <x:v>piece</x:v>
      </x:c>
      <x:c r="F37" s="19" t="n">
        <x:v>189</x:v>
      </x:c>
      <x:c r="G37" s="19" t="n">
        <x:f>D37*F37</x:f>
        <x:v>189</x:v>
      </x:c>
    </x:row>
    <x:row r="38" ht="32.25" customHeight="1">
      <x:c r="A38" s="14" t="n">
        <x:v>33</x:v>
      </x:c>
      <x:c r="B38" s="11" t="str">
        <x:v>Right-angle adapter</x:v>
      </x:c>
      <x:c r="C38" s="11" t="str">
        <x:v>APT-90</x:v>
      </x:c>
      <x:c r="D38" s="16" t="n">
        <x:v>1</x:v>
      </x:c>
      <x:c r="E38" s="11" t="str">
        <x:v>piece</x:v>
      </x:c>
      <x:c r="F38" s="18" t="n">
        <x:v>229</x:v>
      </x:c>
      <x:c r="G38" s="18" t="n">
        <x:f>D38*F38</x:f>
        <x:v>229</x:v>
      </x:c>
    </x:row>
    <x:row r="39" ht="32.25" customHeight="1">
      <x:c r="A39" s="15" t="n">
        <x:v>34</x:v>
      </x:c>
      <x:c r="B39" s="13" t="str">
        <x:v>Linear translation stage</x:v>
      </x:c>
      <x:c r="C39" s="13" t="str">
        <x:v>TSX-LD1</x:v>
      </x:c>
      <x:c r="D39" s="17" t="n">
        <x:v>3</x:v>
      </x:c>
      <x:c r="E39" s="13" t="str">
        <x:v>piece</x:v>
      </x:c>
      <x:c r="F39" s="19" t="n">
        <x:v>778</x:v>
      </x:c>
      <x:c r="G39" s="19" t="n">
        <x:f>D39*F39</x:f>
        <x:v>2334</x:v>
      </x:c>
    </x:row>
    <x:row r="40" ht="32.25" customHeight="1">
      <x:c r="A40" s="14" t="n">
        <x:v>35</x:v>
      </x:c>
      <x:c r="B40" s="11" t="str">
        <x:v>Mounting base plate</x:v>
      </x:c>
      <x:c r="C40" s="11" t="str">
        <x:v>OPS-ML</x:v>
      </x:c>
      <x:c r="D40" s="16" t="n">
        <x:v>1</x:v>
      </x:c>
      <x:c r="E40" s="11" t="str">
        <x:v>piece</x:v>
      </x:c>
      <x:c r="F40" s="18" t="n">
        <x:v>188</x:v>
      </x:c>
      <x:c r="G40" s="18" t="n">
        <x:f>D40*F40</x:f>
        <x:v>188</x:v>
      </x:c>
    </x:row>
    <x:row r="41" ht="32.25" customHeight="1">
      <x:c r="A41" s="15" t="n">
        <x:v>36</x:v>
      </x:c>
      <x:c r="B41" s="13" t="str">
        <x:v>1 in stainless-steel post</x:v>
      </x:c>
      <x:c r="C41" s="13" t="str">
        <x:v>CFP2.5-S（M6）</x:v>
      </x:c>
      <x:c r="D41" s="17" t="n">
        <x:v>4</x:v>
      </x:c>
      <x:c r="E41" s="13" t="str">
        <x:v>rod</x:v>
      </x:c>
      <x:c r="F41" s="19" t="n">
        <x:v>86</x:v>
      </x:c>
      <x:c r="G41" s="19" t="n">
        <x:f>D41*F41</x:f>
        <x:v>344</x:v>
      </x:c>
    </x:row>
    <x:row r="42" ht="32.25" customHeight="1">
      <x:c r="A42" s="14" t="n">
        <x:v>37</x:v>
      </x:c>
      <x:c r="B42" s="11" t="str">
        <x:v>Clamping fork</x:v>
      </x:c>
      <x:c r="C42" s="11" t="str">
        <x:v>M-BASE-C</x:v>
      </x:c>
      <x:c r="D42" s="16" t="n">
        <x:v>4</x:v>
      </x:c>
      <x:c r="E42" s="11" t="str">
        <x:v>piece</x:v>
      </x:c>
      <x:c r="F42" s="18" t="n">
        <x:v>48</x:v>
      </x:c>
      <x:c r="G42" s="18" t="n">
        <x:f>D42*F42</x:f>
        <x:v>192</x:v>
      </x:c>
    </x:row>
    <x:row r="43" ht="32.25" customHeight="1">
      <x:c r="A43" s="15" t="n">
        <x:v>38</x:v>
      </x:c>
      <x:c r="B43" s="13" t="str">
        <x:v>Laboratory LED source</x:v>
      </x:c>
      <x:c r="C43" s="13" t="str">
        <x:v>LED-D1-MAX6K</x:v>
      </x:c>
      <x:c r="D43" s="17" t="n">
        <x:v>1</x:v>
      </x:c>
      <x:c r="E43" s="13" t="str">
        <x:v>piece</x:v>
      </x:c>
      <x:c r="F43" s="19" t="n">
        <x:v>905</x:v>
      </x:c>
      <x:c r="G43" s="19" t="n">
        <x:f>D43*F43</x:f>
        <x:v>905</x:v>
      </x:c>
    </x:row>
    <x:row r="44" ht="32.25" customHeight="1">
      <x:c r="A44" s="14" t="n">
        <x:v>39</x:v>
      </x:c>
      <x:c r="B44" s="11" t="str">
        <x:v>30 mm through-hole cage plate</x:v>
      </x:c>
      <x:c r="C44" s="11" t="str">
        <x:v>CSJ-31</x:v>
      </x:c>
      <x:c r="D44" s="16" t="n">
        <x:v>1</x:v>
      </x:c>
      <x:c r="E44" s="11" t="str">
        <x:v>piece</x:v>
      </x:c>
      <x:c r="F44" s="18" t="n">
        <x:v>93</x:v>
      </x:c>
      <x:c r="G44" s="18" t="n">
        <x:f>D44*F44</x:f>
        <x:v>93</x:v>
      </x:c>
    </x:row>
    <x:row r="45" ht="32.25" customHeight="1">
      <x:c r="A45" s="15" t="n">
        <x:v>40</x:v>
      </x:c>
      <x:c r="B45" s="13" t="str">
        <x:v>1 in lens tube</x:v>
      </x:c>
      <x:c r="C45" s="13" t="str">
        <x:v>CSA-12</x:v>
      </x:c>
      <x:c r="D45" s="17" t="n">
        <x:v>1</x:v>
      </x:c>
      <x:c r="E45" s="13" t="str">
        <x:v>piece</x:v>
      </x:c>
      <x:c r="F45" s="19" t="n">
        <x:v>45</x:v>
      </x:c>
      <x:c r="G45" s="19" t="n">
        <x:f>D45*F45</x:f>
        <x:v>45</x:v>
      </x:c>
    </x:row>
    <x:row r="46" ht="32.25" customHeight="1">
      <x:c r="A46" s="14" t="n">
        <x:v>41</x:v>
      </x:c>
      <x:c r="B46" s="11" t="str">
        <x:v>1 in plano-convex lens</x:v>
      </x:c>
      <x:c r="C46" s="11" t="str">
        <x:v>OLB-I1-30PM</x:v>
      </x:c>
      <x:c r="D46" s="16" t="n">
        <x:v>1</x:v>
      </x:c>
      <x:c r="E46" s="11" t="str">
        <x:v>piece</x:v>
      </x:c>
      <x:c r="F46" s="18" t="n">
        <x:v>145</x:v>
      </x:c>
      <x:c r="G46" s="18" t="n">
        <x:f>D46*F46</x:f>
        <x:v>145</x:v>
      </x:c>
    </x:row>
    <x:row r="47" ht="32.25" customHeight="1">
      <x:c r="A47" s="15" t="n">
        <x:v>42</x:v>
      </x:c>
      <x:c r="B47" s="13" t="str">
        <x:v>1 in viewing lens tube</x:v>
      </x:c>
      <x:c r="C47" s="13" t="str">
        <x:v>CSA-50V</x:v>
      </x:c>
      <x:c r="D47" s="17" t="n">
        <x:v>1</x:v>
      </x:c>
      <x:c r="E47" s="13" t="str">
        <x:v>piece</x:v>
      </x:c>
      <x:c r="F47" s="19" t="n">
        <x:v>203</x:v>
      </x:c>
      <x:c r="G47" s="19" t="n">
        <x:f>D47*F47</x:f>
        <x:v>203</x:v>
      </x:c>
    </x:row>
    <x:row r="48" ht="32.25" customHeight="1">
      <x:c r="A48" s="14" t="n">
        <x:v>43</x:v>
      </x:c>
      <x:c r="B48" s="11" t="str">
        <x:v>Ring-driven adjustable iris</x:v>
      </x:c>
      <x:c r="C48" s="11" t="str">
        <x:v>CDM-12</x:v>
      </x:c>
      <x:c r="D48" s="16" t="n">
        <x:v>1</x:v>
      </x:c>
      <x:c r="E48" s="11" t="str">
        <x:v>piece</x:v>
      </x:c>
      <x:c r="F48" s="18" t="n">
        <x:v>189</x:v>
      </x:c>
      <x:c r="G48" s="18" t="n">
        <x:f>D48*F48</x:f>
        <x:v>189</x:v>
      </x:c>
    </x:row>
    <x:row r="49" ht="32.25" customHeight="1">
      <x:c r="A49" s="15" t="n">
        <x:v>44</x:v>
      </x:c>
      <x:c r="B49" s="13" t="str">
        <x:v>12 mm stainless-steel post</x:v>
      </x:c>
      <x:c r="C49" s="13" t="str">
        <x:v>PCA8-S1</x:v>
      </x:c>
      <x:c r="D49" s="17" t="n">
        <x:v>1</x:v>
      </x:c>
      <x:c r="E49" s="13" t="str">
        <x:v>rod</x:v>
      </x:c>
      <x:c r="F49" s="19" t="n">
        <x:v>17</x:v>
      </x:c>
      <x:c r="G49" s="19" t="n">
        <x:f>D49*F49</x:f>
        <x:v>17</x:v>
      </x:c>
    </x:row>
    <x:row r="50" ht="32.25" customHeight="1">
      <x:c r="A50" s="14" t="n">
        <x:v>45</x:v>
      </x:c>
      <x:c r="B50" s="11" t="str">
        <x:v>Right-angle clamp</x:v>
      </x:c>
      <x:c r="C50" s="11" t="str">
        <x:v>CFP25-A12</x:v>
      </x:c>
      <x:c r="D50" s="16" t="n">
        <x:v>1</x:v>
      </x:c>
      <x:c r="E50" s="11" t="str">
        <x:v>piece</x:v>
      </x:c>
      <x:c r="F50" s="18" t="n">
        <x:v>85</x:v>
      </x:c>
      <x:c r="G50" s="18" t="n">
        <x:f>D50*F50</x:f>
        <x:v>85</x:v>
      </x:c>
    </x:row>
    <x:row r="51" ht="32.25" customHeight="1">
      <x:c r="A51" s="15" t="n">
        <x:v>46</x:v>
      </x:c>
      <x:c r="B51" s="13" t="str">
        <x:v>Quick-release handle</x:v>
      </x:c>
      <x:c r="C51" s="13" t="str">
        <x:v>M6-16</x:v>
      </x:c>
      <x:c r="D51" s="17" t="n">
        <x:v>1</x:v>
      </x:c>
      <x:c r="E51" s="13" t="str">
        <x:v>piece</x:v>
      </x:c>
      <x:c r="F51" s="19" t="n">
        <x:v>18</x:v>
      </x:c>
      <x:c r="G51" s="19" t="n">
        <x:f>D51*F51</x:f>
        <x:v>18</x:v>
      </x:c>
    </x:row>
    <x:row r="52" ht="32.25" customHeight="1">
      <x:c r="A52" s="14" t="n">
        <x:v>47</x:v>
      </x:c>
      <x:c r="B52" s="11" t="str">
        <x:v>25 mm stainless-steel post</x:v>
      </x:c>
      <x:c r="C52" s="11" t="str">
        <x:v>CFJP150-S</x:v>
      </x:c>
      <x:c r="D52" s="16" t="n">
        <x:v>1</x:v>
      </x:c>
      <x:c r="E52" s="11" t="str">
        <x:v>rod</x:v>
      </x:c>
      <x:c r="F52" s="18" t="n">
        <x:v>95</x:v>
      </x:c>
      <x:c r="G52" s="18" t="n">
        <x:f>D52*F52</x:f>
        <x:v>95</x:v>
      </x:c>
    </x:row>
    <x:row r="53" ht="32.25" customHeight="1">
      <x:c r="A53" s="15" t="n">
        <x:v>48</x:v>
      </x:c>
      <x:c r="B53" s="13" t="str">
        <x:v>25 mm stainless-steel post</x:v>
      </x:c>
      <x:c r="C53" s="13" t="str">
        <x:v>CFJP300-S</x:v>
      </x:c>
      <x:c r="D53" s="17" t="n">
        <x:v>1</x:v>
      </x:c>
      <x:c r="E53" s="13" t="str">
        <x:v>rod</x:v>
      </x:c>
      <x:c r="F53" s="19" t="n">
        <x:v>230</x:v>
      </x:c>
      <x:c r="G53" s="19" t="n">
        <x:f>D53*F53</x:f>
        <x:v>230</x:v>
      </x:c>
    </x:row>
    <x:row r="54" ht="32.25" customHeight="1">
      <x:c r="A54" s="14" t="n">
        <x:v>49</x:v>
      </x:c>
      <x:c r="B54" s="11" t="str">
        <x:v>Clamping fork</x:v>
      </x:c>
      <x:c r="C54" s="11" t="str">
        <x:v>M-BASE-C</x:v>
      </x:c>
      <x:c r="D54" s="16" t="n">
        <x:v>1</x:v>
      </x:c>
      <x:c r="E54" s="11" t="str">
        <x:v>piece</x:v>
      </x:c>
      <x:c r="F54" s="18" t="n">
        <x:v>48</x:v>
      </x:c>
      <x:c r="G54" s="18" t="n">
        <x:f>D54*F54</x:f>
        <x:v>48</x:v>
      </x:c>
    </x:row>
    <x:row r="55" ht="32.25" customHeight="1">
      <x:c r="A55" s="15" t="n">
        <x:v>50</x:v>
      </x:c>
      <x:c r="B55" s="13" t="str">
        <x:v>Post base</x:v>
      </x:c>
      <x:c r="C55" s="13" t="str">
        <x:v>PCA31-S</x:v>
      </x:c>
      <x:c r="D55" s="17" t="n">
        <x:v>1</x:v>
      </x:c>
      <x:c r="E55" s="13" t="str">
        <x:v>piece</x:v>
      </x:c>
      <x:c r="F55" s="19" t="n">
        <x:v>27</x:v>
      </x:c>
      <x:c r="G55" s="19" t="n">
        <x:f>D55*F55</x:f>
        <x:v>27</x:v>
      </x:c>
    </x:row>
    <x:row r="56" ht="32.25" customHeight="1">
      <x:c r="A56" s="14" t="n">
        <x:v>51</x:v>
      </x:c>
      <x:c r="B56" s="11" t="str">
        <x:v>C-mount adapter</x:v>
      </x:c>
      <x:c r="C56" s="11" t="str">
        <x:v>C-CSA</x:v>
      </x:c>
      <x:c r="D56" s="16" t="n">
        <x:v>1</x:v>
      </x:c>
      <x:c r="E56" s="11" t="str">
        <x:v>piece</x:v>
      </x:c>
      <x:c r="F56" s="18" t="n">
        <x:v>53</x:v>
      </x:c>
      <x:c r="G56" s="18" t="n">
        <x:f>D56*F56</x:f>
        <x:v>53</x:v>
      </x:c>
    </x:row>
    <x:row r="57" ht="32.25" customHeight="1">
      <x:c r="A57" s="15" t="n">
        <x:v>52</x:v>
      </x:c>
      <x:c r="B57" s="13" t="str">
        <x:v>Ring-driven adjustable iris</x:v>
      </x:c>
      <x:c r="C57" s="13" t="str">
        <x:v>CDM-12</x:v>
      </x:c>
      <x:c r="D57" s="17" t="n">
        <x:v>1</x:v>
      </x:c>
      <x:c r="E57" s="13" t="str">
        <x:v>piece</x:v>
      </x:c>
      <x:c r="F57" s="19" t="n">
        <x:v>189</x:v>
      </x:c>
      <x:c r="G57" s="19" t="n">
        <x:f>D57*F57</x:f>
        <x:v>189</x:v>
      </x:c>
    </x:row>
    <x:row r="58" ht="32.25" customHeight="1">
      <x:c r="A58" s="14" t="n">
        <x:v>53</x:v>
      </x:c>
      <x:c r="B58" s="11" t="str">
        <x:v>LED dimming controller</x:v>
      </x:c>
      <x:c r="C58" s="11" t="str">
        <x:v>LEDOTB-1000</x:v>
      </x:c>
      <x:c r="D58" s="16" t="n">
        <x:v>1</x:v>
      </x:c>
      <x:c r="E58" s="11" t="str">
        <x:v>piece</x:v>
      </x:c>
      <x:c r="F58" s="18" t="n">
        <x:v>925</x:v>
      </x:c>
      <x:c r="G58" s="18" t="n">
        <x:f>D58*F58</x:f>
        <x:v>925</x:v>
      </x:c>
    </x:row>
    <x:row r="59" ht="32.25" customHeight="1">
      <x:c r="A59" s="15" t="n">
        <x:v>54</x:v>
      </x:c>
      <x:c r="B59" s="13" t="str">
        <x:v>OHD series optical breadboard</x:v>
      </x:c>
      <x:c r="C59" s="13" t="str">
        <x:v>OHD-5050A</x:v>
      </x:c>
      <x:c r="D59" s="17" t="n">
        <x:v>1</x:v>
      </x:c>
      <x:c r="E59" s="13" t="str">
        <x:v>piece</x:v>
      </x:c>
      <x:c r="F59" s="19" t="n">
        <x:v>1549</x:v>
      </x:c>
      <x:c r="G59" s="19" t="n">
        <x:f>D59*F59</x:f>
        <x:v>1549</x:v>
      </x:c>
    </x:row>
    <x:row r="60" ht="32.25" customHeight="1">
      <x:c r="A60" s="14" t="n">
        <x:v>55</x:v>
      </x:c>
      <x:c r="B60" s="11" t="str">
        <x:v>Breadboard feet</x:v>
      </x:c>
      <x:c r="C60" s="11" t="str">
        <x:v>—</x:v>
      </x:c>
      <x:c r="D60" s="16" t="n">
        <x:v>2</x:v>
      </x:c>
      <x:c r="E60" s="11" t="str">
        <x:v>pair</x:v>
      </x:c>
      <x:c r="F60" s="18" t="n">
        <x:v>4</x:v>
      </x:c>
      <x:c r="G60" s="18" t="n">
        <x:f>D60*F60</x:f>
        <x:v>8</x:v>
      </x:c>
    </x:row>
    <x:row r="61" ht="34.5" customHeight="1">
      <x:c r="A61" s="24"/>
      <x:c r="B61" s="25" t="str">
        <x:v>Total</x:v>
      </x:c>
      <x:c r="C61" s="25"/>
      <x:c r="D61" s="26" t="n">
        <x:f>SUM(D6:D60)</x:f>
        <x:v>95</x:v>
      </x:c>
      <x:c r="E61" s="25"/>
      <x:c r="F61" s="27"/>
      <x:c r="G61" s="27" t="n">
        <x:f>SUM(G6:G60)</x:f>
        <x:v>22851</x:v>
      </x:c>
    </x:row>
  </x:sheetData>
  <x:pageMargins left="0.7" right="0.7" top="0.75" bottom="0.75" header="0.3" footer="0.3"/>
  <x:tableParts count="1">
    <x:tablePart xmlns:r="http://schemas.openxmlformats.org/officeDocument/2006/relationships" r:id="Rc15f7727bac04abe"/>
  </x:tableParts>
</x:worksheet>
</file>

<file path=xl/worksheets/sheet4.xml><?xml version="1.0" encoding="utf-8"?>
<x:worksheet xmlns:x="http://schemas.openxmlformats.org/spreadsheetml/2006/main">
  <x:sheetPr>
    <x:tabColor rgb="FF667780"/>
  </x:sheetPr>
  <x:sheetViews>
    <x:sheetView showGridLines="0" workbookViewId="0"/>
  </x:sheetViews>
  <x:sheetFormatPr defaultRowHeight="15"/>
  <x:cols>
    <x:col min="1" max="1" width="140" hidden="0" customWidth="1"/>
  </x:cols>
  <x:sheetData>
    <x:row r="1" ht="34.5" customHeight="1">
      <x:c r="A1" s="31" t="str">
        <x:v>NEFU-China Open Microfluidic Platform bill of materials</x:v>
      </x:c>
    </x:row>
    <x:row r="2" ht="40.5" customHeight="1">
      <x:c r="A2" s="29" t="str">
        <x:v>1. This inventory records the equipment and consumables used in the platform.</x:v>
      </x:c>
    </x:row>
    <x:row r="3" ht="40.5" customHeight="1">
      <x:c r="A3" s="29" t="str">
        <x:v>2. Prices are historical purchase prices or estimates in CNY. Obtain current supplier quotations when ordering.</x:v>
      </x:c>
    </x:row>
    <x:row r="4" ht="40.5" customHeight="1">
      <x:c r="A4" s="29" t="str">
        <x:v>3. A blank price cell denotes an unquoted item; enter a supplier quotation during procurement.</x:v>
      </x:c>
    </x:row>
    <x:row r="5" ht="40.5" customHeight="1">
      <x:c r="A5" s="29" t="str">
        <x:v>4. The function generator and high-voltage amplifier belong to the DEP configuration. The magnetic-valve prototype uses a separate architecture.</x:v>
      </x:c>
    </x:row>
    <x:row r="6" ht="40.5" customHeight="1">
      <x:c r="A6" s="29" t="str">
        <x:v>5. The mCherry rows describe alternative excitation configurations. Select the LED or laser path and order its matching filters.</x:v>
      </x:c>
    </x:row>
    <x:row r="7" ht="40.5" customHeight="1">
      <x:c r="A7" s="29" t="str">
        <x:v>6. Obtain PMTCount.dll and the camera SDK with OEApi64.dll directly from the equipment suppliers.</x:v>
      </x:c>
    </x:row>
    <x:row r="8" ht="40.5" customHeight="1">
      <x:c r="A8" s="29" t="str">
        <x:v>7. Historical platform budget: approximately CNY 50,000-80,000. The separate magnetic-valve prototype was approximately CNY 10,000.</x:v>
      </x:c>
    </x:row>
    <x:row r="9" ht="40.5" customHeight="1">
      <x:c r="A9" s="29" t="str">
        <x:v>8. One LSP02-3B pump drives both phases: aqueous about 1.5 uL/min and oil 500 uL over 28.5 min (about 17.5 uL/min). Use the same pump for reinjection.</x:v>
      </x:c>
    </x:row>
    <x:row r="10" ht="40.5" customHeight="1">
      <x:c r="A10" s="29" t="str">
        <x:v>9. The reference incubation condition is 30 deg C for 16 h, as recorded in project report section 4.6.</x:v>
      </x:c>
    </x:row>
    <x:row r="11" ht="40.5" customHeight="1">
      <x:c r="A11" s="29" t="str">
        <x:v>Sources: existing-equipment inventory; phase-two configuration inventory; FourInOne R2 inventory; January-September 2026 project records (14 May, 10 September p. 2, 20 August p. 7); report section 4.6; hardware specifications.</x:v>
      </x:c>
    </x:row>
  </x:sheetData>
  <x:pageMargins left="0.7" right="0.7" top="0.75" bottom="0.75" header="0.3" footer="0.3"/>
</x:worksheet>
</file>